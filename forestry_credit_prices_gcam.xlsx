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rley/Desktop/"/>
    </mc:Choice>
  </mc:AlternateContent>
  <xr:revisionPtr revIDLastSave="0" documentId="13_ncr:1_{8B85094F-23A3-0A4E-98F0-D6A0ACB8D75A}" xr6:coauthVersionLast="47" xr6:coauthVersionMax="47" xr10:uidLastSave="{00000000-0000-0000-0000-000000000000}"/>
  <bookViews>
    <workbookView xWindow="17520" yWindow="880" windowWidth="16100" windowHeight="190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2" i="1"/>
</calcChain>
</file>

<file path=xl/sharedStrings.xml><?xml version="1.0" encoding="utf-8"?>
<sst xmlns="http://schemas.openxmlformats.org/spreadsheetml/2006/main" count="41" uniqueCount="41">
  <si>
    <t>gcam_region</t>
  </si>
  <si>
    <t>weighted_mean_price</t>
  </si>
  <si>
    <t>weighted_se</t>
  </si>
  <si>
    <t>mean_price</t>
  </si>
  <si>
    <t>std_price</t>
  </si>
  <si>
    <t>max_price</t>
  </si>
  <si>
    <t>min_price</t>
  </si>
  <si>
    <t>total_credits</t>
  </si>
  <si>
    <t>n_projects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</si>
  <si>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</si>
  <si>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</si>
  <si>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</si>
  <si>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</si>
  <si>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</si>
  <si>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</si>
  <si>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</si>
  <si>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CAC</t>
  </si>
  <si>
    <t>Canada</t>
  </si>
  <si>
    <t>Central Asia</t>
  </si>
  <si>
    <t>China</t>
  </si>
  <si>
    <t>Colombia</t>
  </si>
  <si>
    <t>EFTA</t>
  </si>
  <si>
    <t>EU-12</t>
  </si>
  <si>
    <t>EU-15</t>
  </si>
  <si>
    <t>Europe_Non_EU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</si>
  <si>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</si>
  <si>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</si>
  <si>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</si>
  <si>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</si>
  <si>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</si>
  <si>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</si>
  <si>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</si>
  <si>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</si>
  <si>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</si>
  <si>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</si>
  <si>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</si>
  <si>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Southeast Asia</t>
  </si>
  <si>
    <t>Taiwan</t>
  </si>
  <si>
    <t>USA</t>
  </si>
  <si>
    <t>Ukraine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</si>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</sst>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irley/Desktop/fossil_carbon_prices_gcam2.xlsx" TargetMode="External"/><Relationship Id="rId1" Type="http://schemas.openxmlformats.org/officeDocument/2006/relationships/externalLinkPath" Target="fossil_carbon_prices_gcam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14.73641775052284</v>
          </cell>
        </row>
        <row r="3">
          <cell r="B3">
            <v>0</v>
          </cell>
        </row>
        <row r="4">
          <cell r="B4">
            <v>2.3239043000000001</v>
          </cell>
        </row>
        <row r="5">
          <cell r="B5">
            <v>18.661732000000001</v>
          </cell>
        </row>
        <row r="6">
          <cell r="B6">
            <v>9.1290312</v>
          </cell>
        </row>
        <row r="7">
          <cell r="B7">
            <v>21.38587427965243</v>
          </cell>
        </row>
        <row r="8">
          <cell r="B8">
            <v>0.43982789</v>
          </cell>
        </row>
        <row r="9">
          <cell r="B9">
            <v>20.081845214296639</v>
          </cell>
        </row>
        <row r="10">
          <cell r="B10">
            <v>42.176654999999997</v>
          </cell>
        </row>
        <row r="11">
          <cell r="B11">
            <v>4.2888875000000004</v>
          </cell>
        </row>
        <row r="12">
          <cell r="B12">
            <v>8.6312990000000003</v>
          </cell>
        </row>
        <row r="13">
          <cell r="B13">
            <v>7</v>
          </cell>
        </row>
        <row r="14">
          <cell r="B14">
            <v>130.02218889482759</v>
          </cell>
        </row>
        <row r="15">
          <cell r="B15">
            <v>64.308725753965717</v>
          </cell>
        </row>
        <row r="16">
          <cell r="B16">
            <v>82.203494808805445</v>
          </cell>
        </row>
        <row r="17">
          <cell r="B17">
            <v>13.61212304139497</v>
          </cell>
        </row>
        <row r="18">
          <cell r="B18">
            <v>8.0938739999999996</v>
          </cell>
        </row>
        <row r="19">
          <cell r="B19">
            <v>1</v>
          </cell>
        </row>
        <row r="20">
          <cell r="B20">
            <v>5.7487206000000004</v>
          </cell>
        </row>
        <row r="21">
          <cell r="B21">
            <v>28.653582</v>
          </cell>
        </row>
        <row r="22">
          <cell r="B22">
            <v>71.327499000000003</v>
          </cell>
        </row>
        <row r="23">
          <cell r="B23">
            <v>0</v>
          </cell>
        </row>
        <row r="24">
          <cell r="B24">
            <v>4.1177391999999999</v>
          </cell>
        </row>
        <row r="25">
          <cell r="B25">
            <v>16.014624000000001</v>
          </cell>
        </row>
        <row r="26">
          <cell r="B26">
            <v>0</v>
          </cell>
        </row>
        <row r="27">
          <cell r="B27">
            <v>23.215019134447768</v>
          </cell>
        </row>
        <row r="28">
          <cell r="B28">
            <v>0</v>
          </cell>
        </row>
        <row r="29">
          <cell r="B29">
            <v>27.350366999999999</v>
          </cell>
        </row>
        <row r="30">
          <cell r="B30">
            <v>10.74786926376205</v>
          </cell>
        </row>
        <row r="31">
          <cell r="B31">
            <v>9</v>
          </cell>
        </row>
        <row r="32">
          <cell r="B32">
            <v>1</v>
          </cell>
        </row>
        <row r="33">
          <cell r="B33">
            <v>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33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t="s">
        <v>9</v>
      </c>
      <c r="B2">
        <v>14.74634747189082</v>
      </c>
      <c r="C2">
        <v>2.347520244276326E-4</v>
      </c>
      <c r="D2">
        <v>15.723510638297871</v>
      </c>
      <c r="E2">
        <v>4.8703890700265413</v>
      </c>
      <c r="F2">
        <v>26.93</v>
      </c>
      <c r="G2">
        <v>9.77</v>
      </c>
      <c r="H2">
        <v>56126848</v>
      </c>
      <c r="I2">
        <v>94</v>
      </c>
      <c r="K2">
        <f>B2/[1]Sheet1!$B2</f>
        <v>1.000673821924438</v>
      </c>
    </row>
    <row r="3" spans="1:11" x14ac:dyDescent="0.2">
      <c r="A3" t="s">
        <v>10</v>
      </c>
      <c r="B3">
        <v>15.41666666666667</v>
      </c>
      <c r="D3">
        <v>15.41666666666667</v>
      </c>
      <c r="E3">
        <v>4.6349793239380608</v>
      </c>
      <c r="F3">
        <v>18.829999999999998</v>
      </c>
      <c r="G3">
        <v>10.14</v>
      </c>
      <c r="H3">
        <v>0</v>
      </c>
      <c r="I3">
        <v>3</v>
      </c>
      <c r="K3" t="e">
        <f>B3/[1]Sheet1!$B3</f>
        <v>#DIV/0!</v>
      </c>
    </row>
    <row r="4" spans="1:11" x14ac:dyDescent="0.2">
      <c r="A4" t="s">
        <v>11</v>
      </c>
      <c r="B4">
        <v>17.22555473966484</v>
      </c>
      <c r="C4">
        <v>5.5371769416559839E-4</v>
      </c>
      <c r="D4">
        <v>17.487058823529409</v>
      </c>
      <c r="E4">
        <v>4.944113386287837</v>
      </c>
      <c r="F4">
        <v>27.75</v>
      </c>
      <c r="G4">
        <v>10.54</v>
      </c>
      <c r="H4">
        <v>53813035</v>
      </c>
      <c r="I4">
        <v>51</v>
      </c>
      <c r="K4">
        <f>B4/[1]Sheet1!$B4</f>
        <v>7.4123339500963263</v>
      </c>
    </row>
    <row r="5" spans="1:11" x14ac:dyDescent="0.2">
      <c r="A5" t="s">
        <v>12</v>
      </c>
      <c r="B5">
        <v>14.4063683711012</v>
      </c>
      <c r="C5">
        <v>2.9347724985415331E-4</v>
      </c>
      <c r="D5">
        <v>17.406638655462189</v>
      </c>
      <c r="E5">
        <v>5.5171309906801742</v>
      </c>
      <c r="F5">
        <v>27.15</v>
      </c>
      <c r="G5">
        <v>9.8699999999999992</v>
      </c>
      <c r="H5">
        <v>57583301</v>
      </c>
      <c r="I5">
        <v>119</v>
      </c>
      <c r="K5">
        <f>B5/[1]Sheet1!$B5</f>
        <v>0.77197381095716089</v>
      </c>
    </row>
    <row r="6" spans="1:11" x14ac:dyDescent="0.2">
      <c r="A6" t="s">
        <v>13</v>
      </c>
      <c r="B6">
        <v>19.36715305234555</v>
      </c>
      <c r="C6">
        <v>2.6373757802829832E-3</v>
      </c>
      <c r="D6">
        <v>18.41458333333334</v>
      </c>
      <c r="E6">
        <v>5.0731038258186896</v>
      </c>
      <c r="F6">
        <v>28.09</v>
      </c>
      <c r="G6">
        <v>12.85</v>
      </c>
      <c r="H6">
        <v>524056</v>
      </c>
      <c r="I6">
        <v>24</v>
      </c>
      <c r="K6">
        <f>B6/[1]Sheet1!$B6</f>
        <v>2.1214905095674941</v>
      </c>
    </row>
    <row r="7" spans="1:11" x14ac:dyDescent="0.2">
      <c r="A7" t="s">
        <v>14</v>
      </c>
      <c r="B7">
        <v>13.426124194635941</v>
      </c>
      <c r="C7">
        <v>8.9264865643137086E-4</v>
      </c>
      <c r="D7">
        <v>17.251999999999999</v>
      </c>
      <c r="E7">
        <v>5.4395073306320674</v>
      </c>
      <c r="F7">
        <v>26.7</v>
      </c>
      <c r="G7">
        <v>11.78</v>
      </c>
      <c r="H7">
        <v>886866</v>
      </c>
      <c r="I7">
        <v>10</v>
      </c>
      <c r="K7">
        <f>B7/[1]Sheet1!$B7</f>
        <v>0.62780338175887496</v>
      </c>
    </row>
    <row r="8" spans="1:11" x14ac:dyDescent="0.2">
      <c r="A8" t="s">
        <v>15</v>
      </c>
      <c r="B8">
        <v>14.398139224079619</v>
      </c>
      <c r="C8">
        <v>1.3808702983168401E-4</v>
      </c>
      <c r="D8">
        <v>16.957759562841531</v>
      </c>
      <c r="E8">
        <v>4.5459636615575807</v>
      </c>
      <c r="F8">
        <v>26.73</v>
      </c>
      <c r="G8">
        <v>9.85</v>
      </c>
      <c r="H8">
        <v>87462557</v>
      </c>
      <c r="I8">
        <v>183</v>
      </c>
      <c r="K8">
        <f>B8/[1]Sheet1!$B8</f>
        <v>32.735848615874765</v>
      </c>
    </row>
    <row r="9" spans="1:11" x14ac:dyDescent="0.2">
      <c r="A9" t="s">
        <v>16</v>
      </c>
      <c r="B9">
        <v>14.846763612765599</v>
      </c>
      <c r="C9">
        <v>9.7921770960265669E-4</v>
      </c>
      <c r="D9">
        <v>15.39148936170213</v>
      </c>
      <c r="E9">
        <v>4.8699183006821736</v>
      </c>
      <c r="F9">
        <v>27.15</v>
      </c>
      <c r="G9">
        <v>9.74</v>
      </c>
      <c r="H9">
        <v>18358999</v>
      </c>
      <c r="I9">
        <v>47</v>
      </c>
      <c r="K9">
        <f>B9/[1]Sheet1!$B9</f>
        <v>0.73931272023727745</v>
      </c>
    </row>
    <row r="10" spans="1:11" x14ac:dyDescent="0.2">
      <c r="A10" t="s">
        <v>17</v>
      </c>
      <c r="B10">
        <v>14.345848563628261</v>
      </c>
      <c r="C10">
        <v>1.1416116925640431E-3</v>
      </c>
      <c r="D10">
        <v>17.61578947368421</v>
      </c>
      <c r="E10">
        <v>5.3155623798371758</v>
      </c>
      <c r="F10">
        <v>26.95</v>
      </c>
      <c r="G10">
        <v>9.82</v>
      </c>
      <c r="H10">
        <v>6136016</v>
      </c>
      <c r="I10">
        <v>38</v>
      </c>
      <c r="K10">
        <f>B10/[1]Sheet1!$B10</f>
        <v>0.3401371816619469</v>
      </c>
    </row>
    <row r="11" spans="1:11" x14ac:dyDescent="0.2">
      <c r="A11" t="s">
        <v>18</v>
      </c>
      <c r="B11">
        <v>16.440000000000001</v>
      </c>
      <c r="D11">
        <v>16.440000000000001</v>
      </c>
      <c r="E11">
        <v>5.3335104137269047</v>
      </c>
      <c r="F11">
        <v>27.16</v>
      </c>
      <c r="G11">
        <v>10.33</v>
      </c>
      <c r="H11">
        <v>0</v>
      </c>
      <c r="I11">
        <v>13</v>
      </c>
      <c r="K11">
        <f>B11/[1]Sheet1!$B11</f>
        <v>3.8331618630705515</v>
      </c>
    </row>
    <row r="12" spans="1:11" x14ac:dyDescent="0.2">
      <c r="A12" t="s">
        <v>19</v>
      </c>
      <c r="B12">
        <v>16.17247864248748</v>
      </c>
      <c r="C12">
        <v>8.0896238891520981E-4</v>
      </c>
      <c r="D12">
        <v>17.384514563106801</v>
      </c>
      <c r="E12">
        <v>5.0296013038208738</v>
      </c>
      <c r="F12">
        <v>28.74</v>
      </c>
      <c r="G12">
        <v>10.38</v>
      </c>
      <c r="H12">
        <v>27018830</v>
      </c>
      <c r="I12">
        <v>206</v>
      </c>
      <c r="K12">
        <f>B12/[1]Sheet1!$B12</f>
        <v>1.8737015879634664</v>
      </c>
    </row>
    <row r="13" spans="1:11" x14ac:dyDescent="0.2">
      <c r="A13" t="s">
        <v>20</v>
      </c>
      <c r="B13">
        <v>14.929623836557999</v>
      </c>
      <c r="C13">
        <v>2.6476471248365521E-4</v>
      </c>
      <c r="D13">
        <v>16.350641025641021</v>
      </c>
      <c r="E13">
        <v>4.7848834858708909</v>
      </c>
      <c r="F13">
        <v>27.02</v>
      </c>
      <c r="G13">
        <v>9.91</v>
      </c>
      <c r="H13">
        <v>44774686</v>
      </c>
      <c r="I13">
        <v>78</v>
      </c>
      <c r="K13">
        <f>B13/[1]Sheet1!$B13</f>
        <v>2.1328034052225715</v>
      </c>
    </row>
    <row r="14" spans="1:11" x14ac:dyDescent="0.2">
      <c r="A14" t="s">
        <v>21</v>
      </c>
      <c r="B14">
        <v>18.04</v>
      </c>
      <c r="D14">
        <v>18.04</v>
      </c>
      <c r="E14">
        <v>10.18233764908628</v>
      </c>
      <c r="F14">
        <v>25.24</v>
      </c>
      <c r="G14">
        <v>10.84</v>
      </c>
      <c r="H14">
        <v>0</v>
      </c>
      <c r="I14">
        <v>2</v>
      </c>
      <c r="K14">
        <f>B14/[1]Sheet1!$B14</f>
        <v>0.13874554915078535</v>
      </c>
    </row>
    <row r="15" spans="1:11" x14ac:dyDescent="0.2">
      <c r="A15" t="s">
        <v>22</v>
      </c>
      <c r="B15">
        <v>20.912608318749079</v>
      </c>
      <c r="C15">
        <v>1.0154348047506539E-2</v>
      </c>
      <c r="D15">
        <v>17.864210526315791</v>
      </c>
      <c r="E15">
        <v>5.915324087852456</v>
      </c>
      <c r="F15">
        <v>28.01</v>
      </c>
      <c r="G15">
        <v>10.19</v>
      </c>
      <c r="H15">
        <v>61139</v>
      </c>
      <c r="I15">
        <v>19</v>
      </c>
      <c r="K15">
        <f>B15/[1]Sheet1!$B15</f>
        <v>0.32519083644663049</v>
      </c>
    </row>
    <row r="16" spans="1:11" x14ac:dyDescent="0.2">
      <c r="A16" t="s">
        <v>23</v>
      </c>
      <c r="B16">
        <v>14.17</v>
      </c>
      <c r="C16">
        <v>1.7019097527167981E-17</v>
      </c>
      <c r="D16">
        <v>16.333448275862072</v>
      </c>
      <c r="E16">
        <v>5.129081145684359</v>
      </c>
      <c r="F16">
        <v>27.13</v>
      </c>
      <c r="G16">
        <v>10.039999999999999</v>
      </c>
      <c r="H16">
        <v>10894</v>
      </c>
      <c r="I16">
        <v>29</v>
      </c>
      <c r="K16">
        <f>B16/[1]Sheet1!$B16</f>
        <v>0.17237709945249363</v>
      </c>
    </row>
    <row r="17" spans="1:11" x14ac:dyDescent="0.2">
      <c r="A17" t="s">
        <v>24</v>
      </c>
      <c r="B17">
        <v>14.35</v>
      </c>
      <c r="D17">
        <v>14.35</v>
      </c>
      <c r="F17">
        <v>14.35</v>
      </c>
      <c r="G17">
        <v>14.35</v>
      </c>
      <c r="H17">
        <v>0</v>
      </c>
      <c r="I17">
        <v>1</v>
      </c>
      <c r="K17">
        <f>B17/[1]Sheet1!$B17</f>
        <v>1.0542073382940427</v>
      </c>
    </row>
    <row r="18" spans="1:11" x14ac:dyDescent="0.2">
      <c r="A18" t="s">
        <v>25</v>
      </c>
      <c r="B18">
        <v>14.28621142260473</v>
      </c>
      <c r="C18">
        <v>6.0239938784332494E-4</v>
      </c>
      <c r="D18">
        <v>17.033612903225809</v>
      </c>
      <c r="E18">
        <v>4.9763074877683593</v>
      </c>
      <c r="F18">
        <v>27.01</v>
      </c>
      <c r="G18">
        <v>9.77</v>
      </c>
      <c r="H18">
        <v>3501338</v>
      </c>
      <c r="I18">
        <v>155</v>
      </c>
      <c r="K18">
        <f>B18/[1]Sheet1!$B18</f>
        <v>1.7650647171681608</v>
      </c>
    </row>
    <row r="19" spans="1:11" x14ac:dyDescent="0.2">
      <c r="A19" t="s">
        <v>26</v>
      </c>
      <c r="B19">
        <v>14.210767120255211</v>
      </c>
      <c r="C19">
        <v>5.7685111090840649E-5</v>
      </c>
      <c r="D19">
        <v>16.995555555555551</v>
      </c>
      <c r="E19">
        <v>5.0071551343734626</v>
      </c>
      <c r="F19">
        <v>26.7</v>
      </c>
      <c r="G19">
        <v>9.91</v>
      </c>
      <c r="H19">
        <v>76659050</v>
      </c>
      <c r="I19">
        <v>36</v>
      </c>
      <c r="K19">
        <f>B19/[1]Sheet1!$B19</f>
        <v>14.210767120255211</v>
      </c>
    </row>
    <row r="20" spans="1:11" x14ac:dyDescent="0.2">
      <c r="A20" t="s">
        <v>27</v>
      </c>
      <c r="B20">
        <v>17.34</v>
      </c>
      <c r="D20">
        <v>17.34</v>
      </c>
      <c r="E20">
        <v>7.0665338037824448</v>
      </c>
      <c r="F20">
        <v>25.49</v>
      </c>
      <c r="G20">
        <v>12.92</v>
      </c>
      <c r="H20">
        <v>0</v>
      </c>
      <c r="I20">
        <v>3</v>
      </c>
      <c r="K20">
        <f>B20/[1]Sheet1!$B20</f>
        <v>3.0163233189659624</v>
      </c>
    </row>
    <row r="21" spans="1:11" x14ac:dyDescent="0.2">
      <c r="A21" t="s">
        <v>28</v>
      </c>
      <c r="B21">
        <v>20.30009076133317</v>
      </c>
      <c r="C21">
        <v>1.1382229812047001E-3</v>
      </c>
      <c r="D21">
        <v>20.47495555555555</v>
      </c>
      <c r="E21">
        <v>4.0388631140637843</v>
      </c>
      <c r="F21">
        <v>26.02</v>
      </c>
      <c r="G21">
        <v>10.87</v>
      </c>
      <c r="H21">
        <v>15110730</v>
      </c>
      <c r="I21">
        <v>450</v>
      </c>
      <c r="K21">
        <f>B21/[1]Sheet1!$B21</f>
        <v>0.70846607454988242</v>
      </c>
    </row>
    <row r="22" spans="1:11" x14ac:dyDescent="0.2">
      <c r="A22" t="s">
        <v>29</v>
      </c>
      <c r="B22">
        <v>20.103999999999999</v>
      </c>
      <c r="D22">
        <v>20.103999999999999</v>
      </c>
      <c r="E22">
        <v>4.7163471034265489</v>
      </c>
      <c r="F22">
        <v>25.52</v>
      </c>
      <c r="G22">
        <v>12.96</v>
      </c>
      <c r="H22">
        <v>0</v>
      </c>
      <c r="I22">
        <v>5</v>
      </c>
      <c r="K22">
        <f>B22/[1]Sheet1!$B22</f>
        <v>0.28185482852833516</v>
      </c>
    </row>
    <row r="23" spans="1:11" x14ac:dyDescent="0.2">
      <c r="A23" t="s">
        <v>30</v>
      </c>
      <c r="B23">
        <v>14.07</v>
      </c>
      <c r="C23">
        <v>0</v>
      </c>
      <c r="D23">
        <v>15.776666666666671</v>
      </c>
      <c r="E23">
        <v>3.8731038371483582</v>
      </c>
      <c r="F23">
        <v>20.21</v>
      </c>
      <c r="G23">
        <v>13.05</v>
      </c>
      <c r="H23">
        <v>4802658</v>
      </c>
      <c r="I23">
        <v>3</v>
      </c>
      <c r="K23" t="e">
        <f>B23/[1]Sheet1!$B23</f>
        <v>#DIV/0!</v>
      </c>
    </row>
    <row r="24" spans="1:11" x14ac:dyDescent="0.2">
      <c r="A24" t="s">
        <v>31</v>
      </c>
      <c r="B24">
        <v>14.47</v>
      </c>
      <c r="D24">
        <v>14.47</v>
      </c>
      <c r="E24">
        <v>3.7741312466138042</v>
      </c>
      <c r="F24">
        <v>19.82</v>
      </c>
      <c r="G24">
        <v>11.32</v>
      </c>
      <c r="H24">
        <v>0</v>
      </c>
      <c r="I24">
        <v>4</v>
      </c>
      <c r="K24">
        <f>B24/[1]Sheet1!$B24</f>
        <v>3.514064222425743</v>
      </c>
    </row>
    <row r="25" spans="1:11" x14ac:dyDescent="0.2">
      <c r="A25" t="s">
        <v>32</v>
      </c>
      <c r="B25">
        <v>27.05</v>
      </c>
      <c r="C25">
        <v>0</v>
      </c>
      <c r="D25">
        <v>16.437142857142859</v>
      </c>
      <c r="E25">
        <v>5.5119879742767433</v>
      </c>
      <c r="F25">
        <v>27.05</v>
      </c>
      <c r="G25">
        <v>9.77</v>
      </c>
      <c r="H25">
        <v>805971</v>
      </c>
      <c r="I25">
        <v>21</v>
      </c>
      <c r="K25">
        <f>B25/[1]Sheet1!$B25</f>
        <v>1.6890811798016612</v>
      </c>
    </row>
    <row r="26" spans="1:11" x14ac:dyDescent="0.2">
      <c r="A26" t="s">
        <v>33</v>
      </c>
      <c r="B26">
        <v>23.52</v>
      </c>
      <c r="C26">
        <v>0</v>
      </c>
      <c r="D26">
        <v>23.52</v>
      </c>
      <c r="F26">
        <v>23.52</v>
      </c>
      <c r="G26">
        <v>23.52</v>
      </c>
      <c r="H26">
        <v>58433813</v>
      </c>
      <c r="I26">
        <v>1</v>
      </c>
      <c r="K26" t="e">
        <f>B26/[1]Sheet1!$B26</f>
        <v>#DIV/0!</v>
      </c>
    </row>
    <row r="27" spans="1:11" x14ac:dyDescent="0.2">
      <c r="A27" t="s">
        <v>34</v>
      </c>
      <c r="B27">
        <v>15.11319874781595</v>
      </c>
      <c r="C27">
        <v>2.353952780687433E-4</v>
      </c>
      <c r="D27">
        <v>17.26552380952381</v>
      </c>
      <c r="E27">
        <v>5.2866306306482604</v>
      </c>
      <c r="F27">
        <v>27.15</v>
      </c>
      <c r="G27">
        <v>9.76</v>
      </c>
      <c r="H27">
        <v>119965112</v>
      </c>
      <c r="I27">
        <v>105</v>
      </c>
      <c r="K27">
        <f>B27/[1]Sheet1!$B27</f>
        <v>0.65100953224673952</v>
      </c>
    </row>
    <row r="28" spans="1:11" x14ac:dyDescent="0.2">
      <c r="A28" t="s">
        <v>35</v>
      </c>
      <c r="B28">
        <v>15.984999999999999</v>
      </c>
      <c r="D28">
        <v>15.984999999999999</v>
      </c>
      <c r="E28">
        <v>4.4605935080933383</v>
      </c>
      <c r="F28">
        <v>24.22</v>
      </c>
      <c r="G28">
        <v>10.56</v>
      </c>
      <c r="H28">
        <v>0</v>
      </c>
      <c r="I28">
        <v>10</v>
      </c>
      <c r="K28" t="e">
        <f>B28/[1]Sheet1!$B28</f>
        <v>#DIV/0!</v>
      </c>
    </row>
    <row r="29" spans="1:11" x14ac:dyDescent="0.2">
      <c r="A29" t="s">
        <v>40</v>
      </c>
      <c r="B29">
        <v>0</v>
      </c>
      <c r="C29">
        <v>0</v>
      </c>
      <c r="H29">
        <v>0</v>
      </c>
      <c r="K29">
        <f>B29/[1]Sheet1!$B29</f>
        <v>0</v>
      </c>
    </row>
    <row r="30" spans="1:11" x14ac:dyDescent="0.2">
      <c r="A30" t="s">
        <v>36</v>
      </c>
      <c r="B30">
        <v>20.721818662850431</v>
      </c>
      <c r="C30">
        <v>7.1985935788568105E-4</v>
      </c>
      <c r="D30">
        <v>16.663018867924531</v>
      </c>
      <c r="E30">
        <v>5.2267781607740771</v>
      </c>
      <c r="F30">
        <v>26.27</v>
      </c>
      <c r="G30">
        <v>9.77</v>
      </c>
      <c r="H30">
        <v>54906543</v>
      </c>
      <c r="I30">
        <v>53</v>
      </c>
      <c r="K30">
        <f>B30/[1]Sheet1!$B30</f>
        <v>1.9279931821200089</v>
      </c>
    </row>
    <row r="31" spans="1:11" x14ac:dyDescent="0.2">
      <c r="A31" t="s">
        <v>37</v>
      </c>
      <c r="B31">
        <v>12.95</v>
      </c>
      <c r="D31">
        <v>12.95</v>
      </c>
      <c r="F31">
        <v>12.95</v>
      </c>
      <c r="G31">
        <v>12.95</v>
      </c>
      <c r="H31">
        <v>0</v>
      </c>
      <c r="I31">
        <v>1</v>
      </c>
      <c r="K31">
        <f>B31/[1]Sheet1!$B31</f>
        <v>1.4388888888888889</v>
      </c>
    </row>
    <row r="32" spans="1:11" x14ac:dyDescent="0.2">
      <c r="A32" t="s">
        <v>39</v>
      </c>
      <c r="B32">
        <v>19.16</v>
      </c>
      <c r="D32">
        <v>19.16</v>
      </c>
      <c r="F32">
        <v>19.16</v>
      </c>
      <c r="G32">
        <v>19.16</v>
      </c>
      <c r="H32">
        <v>0</v>
      </c>
      <c r="I32">
        <v>1</v>
      </c>
      <c r="K32">
        <f>B32/[1]Sheet1!$B32</f>
        <v>19.16</v>
      </c>
    </row>
    <row r="33" spans="1:11" x14ac:dyDescent="0.2">
      <c r="A33" t="s">
        <v>38</v>
      </c>
      <c r="B33">
        <v>20.73652443904718</v>
      </c>
      <c r="C33">
        <v>3.3202954583431412E-4</v>
      </c>
      <c r="D33">
        <v>19.441042735042739</v>
      </c>
      <c r="E33">
        <v>5.2545178642939536</v>
      </c>
      <c r="F33">
        <v>26.94</v>
      </c>
      <c r="G33">
        <v>10.1</v>
      </c>
      <c r="H33">
        <v>261805174</v>
      </c>
      <c r="I33">
        <v>585</v>
      </c>
      <c r="K33">
        <f>B33/[1]Sheet1!$B33</f>
        <v>0.90158801908900787</v>
      </c>
    </row>
  </sheetData>
  <autoFilter ref="A1:I1" xr:uid="{00000000-0001-0000-0000-000000000000}">
    <sortState xmlns:xlrd2="http://schemas.microsoft.com/office/spreadsheetml/2017/richdata2" ref="A2:I33">
      <sortCondition ref="A1:A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Shiyu Deng</cp:lastModifiedBy>
  <dcterms:created xsi:type="dcterms:W3CDTF">2026-03-29T01:01:50Z</dcterms:created>
  <dcterms:modified xsi:type="dcterms:W3CDTF">2026-03-29T22:40:44Z</dcterms:modified>
</cp:coreProperties>
</file>