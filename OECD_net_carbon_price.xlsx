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ley/Desktop/"/>
    </mc:Choice>
  </mc:AlternateContent>
  <xr:revisionPtr revIDLastSave="0" documentId="13_ncr:1_{B0CA1540-4AFC-A042-A66F-60ACC925EBBE}" xr6:coauthVersionLast="47" xr6:coauthVersionMax="47" xr10:uidLastSave="{00000000-0000-0000-0000-000000000000}"/>
  <bookViews>
    <workbookView xWindow="2860" yWindow="3300" windowWidth="27240" windowHeight="16440" activeTab="1" xr2:uid="{BD082A94-F85C-064A-BBE3-B11E056899CC}"/>
  </bookViews>
  <sheets>
    <sheet name="net_carbon_price" sheetId="1" r:id="rId1"/>
    <sheet name="emission" sheetId="3" r:id="rId2"/>
    <sheet name="euro" sheetId="2" r:id="rId3"/>
  </sheets>
  <definedNames>
    <definedName name="_xlnm._FilterDatabase" localSheetId="1" hidden="1">emission!$A$1:$H$1</definedName>
    <definedName name="_xlnm._FilterDatabase" localSheetId="2" hidden="1">euro!$A$1:$AK$91</definedName>
    <definedName name="_xlnm._FilterDatabase" localSheetId="0" hidden="1">net_carbon_price!$A$1:$AJ$134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6" i="3" l="1"/>
  <c r="E67" i="3"/>
  <c r="E68" i="3"/>
  <c r="E69" i="3"/>
  <c r="E70" i="3"/>
  <c r="E71" i="3"/>
  <c r="E72" i="3"/>
  <c r="E73" i="3"/>
  <c r="E74" i="3"/>
  <c r="E55" i="3"/>
  <c r="E75" i="3"/>
  <c r="E76" i="3"/>
  <c r="E77" i="3"/>
  <c r="E78" i="3"/>
  <c r="E79" i="3"/>
  <c r="E41" i="3"/>
  <c r="E15" i="3"/>
  <c r="E80" i="3"/>
  <c r="E81" i="3"/>
  <c r="E82" i="3"/>
  <c r="E83" i="3"/>
  <c r="E84" i="3"/>
  <c r="E85" i="3"/>
  <c r="E16" i="3"/>
  <c r="E86" i="3"/>
  <c r="E87" i="3"/>
  <c r="E88" i="3"/>
  <c r="E89" i="3"/>
  <c r="E90" i="3"/>
  <c r="E91" i="3"/>
  <c r="E92" i="3"/>
  <c r="E93" i="3"/>
  <c r="E64" i="3"/>
  <c r="E94" i="3"/>
  <c r="E95" i="3"/>
  <c r="E28" i="3"/>
  <c r="E96" i="3"/>
  <c r="E97" i="3"/>
  <c r="E98" i="3"/>
  <c r="E99" i="3"/>
  <c r="E34" i="3"/>
  <c r="E100" i="3"/>
  <c r="E101" i="3"/>
  <c r="E102" i="3"/>
  <c r="E103" i="3"/>
  <c r="E35" i="3"/>
  <c r="E57" i="3"/>
  <c r="E104" i="3"/>
  <c r="E105" i="3"/>
  <c r="E106" i="3"/>
  <c r="E107" i="3"/>
  <c r="E108" i="3"/>
  <c r="E25" i="3"/>
  <c r="E109" i="3"/>
  <c r="E21" i="3"/>
  <c r="E110" i="3"/>
  <c r="E111" i="3"/>
  <c r="E17" i="3"/>
  <c r="E23" i="3"/>
  <c r="E112" i="3"/>
  <c r="E6" i="3"/>
  <c r="E113" i="3"/>
  <c r="E114" i="3"/>
  <c r="E47" i="3"/>
  <c r="E115" i="3"/>
  <c r="E116" i="3"/>
  <c r="E117" i="3"/>
  <c r="E118" i="3"/>
  <c r="E119" i="3"/>
  <c r="E120" i="3"/>
  <c r="E18" i="3"/>
  <c r="E121" i="3"/>
  <c r="E122" i="3"/>
  <c r="E123" i="3"/>
  <c r="E124" i="3"/>
  <c r="E125" i="3"/>
  <c r="E126" i="3"/>
  <c r="E127" i="3"/>
  <c r="E128" i="3"/>
  <c r="E129" i="3"/>
  <c r="E130" i="3"/>
  <c r="E7" i="3"/>
  <c r="E32" i="3"/>
  <c r="E131" i="3"/>
  <c r="E132" i="3"/>
  <c r="E133" i="3"/>
  <c r="E134" i="3"/>
  <c r="E10" i="3"/>
  <c r="E42" i="3"/>
  <c r="E19" i="3"/>
  <c r="E135" i="3"/>
  <c r="E136" i="3"/>
  <c r="E51" i="3"/>
  <c r="E137" i="3"/>
  <c r="E138" i="3"/>
  <c r="E139" i="3"/>
  <c r="E140" i="3"/>
  <c r="E141" i="3"/>
  <c r="E142" i="3"/>
  <c r="E143" i="3"/>
  <c r="E30" i="3"/>
  <c r="E9" i="3"/>
  <c r="E58" i="3"/>
  <c r="E144" i="3"/>
  <c r="E145" i="3"/>
  <c r="E146" i="3"/>
  <c r="E147" i="3"/>
  <c r="E148" i="3"/>
  <c r="E29" i="3"/>
  <c r="E20" i="3"/>
  <c r="E4" i="3"/>
  <c r="E38" i="3"/>
  <c r="E60" i="3"/>
  <c r="E149" i="3"/>
  <c r="E150" i="3"/>
  <c r="E48" i="3"/>
  <c r="E151" i="3"/>
  <c r="E152" i="3"/>
  <c r="E153" i="3"/>
  <c r="E154" i="3"/>
  <c r="E61" i="3"/>
  <c r="E155" i="3"/>
  <c r="E27" i="3"/>
  <c r="E156" i="3"/>
  <c r="E157" i="3"/>
  <c r="E158" i="3"/>
  <c r="E159" i="3"/>
  <c r="E160" i="3"/>
  <c r="E33" i="3"/>
  <c r="E161" i="3"/>
  <c r="E162" i="3"/>
  <c r="E3" i="3"/>
  <c r="E163" i="3"/>
  <c r="E164" i="3"/>
  <c r="E165" i="3"/>
  <c r="E166" i="3"/>
  <c r="E167" i="3"/>
  <c r="E168" i="3"/>
  <c r="E14" i="3"/>
  <c r="E169" i="3"/>
  <c r="E170" i="3"/>
  <c r="E43" i="3"/>
  <c r="E39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5" i="3"/>
  <c r="E183" i="3"/>
  <c r="E37" i="3"/>
  <c r="E184" i="3"/>
  <c r="E185" i="3"/>
  <c r="E186" i="3"/>
  <c r="E187" i="3"/>
  <c r="E188" i="3"/>
  <c r="E189" i="3"/>
  <c r="E190" i="3"/>
  <c r="E191" i="3"/>
  <c r="E192" i="3"/>
  <c r="E193" i="3"/>
  <c r="E8" i="3"/>
  <c r="E194" i="3"/>
  <c r="E195" i="3"/>
  <c r="E196" i="3"/>
  <c r="E197" i="3"/>
  <c r="E198" i="3"/>
  <c r="E199" i="3"/>
  <c r="E200" i="3"/>
  <c r="E59" i="3"/>
  <c r="E201" i="3"/>
  <c r="E56" i="3"/>
  <c r="E53" i="3"/>
  <c r="E52" i="3"/>
  <c r="E22" i="3"/>
  <c r="E13" i="3"/>
  <c r="E202" i="3"/>
  <c r="E31" i="3"/>
  <c r="E62" i="3"/>
  <c r="E49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50" i="3"/>
  <c r="E216" i="3"/>
  <c r="E26" i="3"/>
  <c r="E12" i="3"/>
  <c r="E217" i="3"/>
  <c r="E218" i="3"/>
  <c r="E45" i="3"/>
  <c r="E219" i="3"/>
  <c r="E220" i="3"/>
  <c r="E40" i="3"/>
  <c r="E221" i="3"/>
  <c r="E24" i="3"/>
  <c r="E222" i="3"/>
  <c r="E223" i="3"/>
  <c r="E224" i="3"/>
  <c r="E11" i="3"/>
  <c r="E2" i="3"/>
  <c r="E225" i="3"/>
  <c r="E226" i="3"/>
  <c r="E227" i="3"/>
  <c r="E228" i="3"/>
  <c r="E229" i="3"/>
  <c r="E230" i="3"/>
  <c r="E231" i="3"/>
  <c r="E232" i="3"/>
  <c r="E233" i="3"/>
  <c r="E54" i="3"/>
  <c r="E234" i="3"/>
  <c r="E235" i="3"/>
  <c r="E236" i="3"/>
  <c r="E46" i="3"/>
  <c r="E237" i="3"/>
  <c r="E238" i="3"/>
  <c r="E36" i="3"/>
  <c r="E239" i="3"/>
  <c r="E240" i="3"/>
  <c r="E44" i="3"/>
  <c r="E241" i="3"/>
  <c r="E242" i="3"/>
  <c r="E243" i="3"/>
  <c r="E244" i="3"/>
  <c r="E245" i="3"/>
  <c r="E246" i="3"/>
  <c r="E247" i="3"/>
  <c r="E63" i="3"/>
  <c r="E248" i="3"/>
  <c r="E65" i="3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2" i="2"/>
</calcChain>
</file>

<file path=xl/sharedStrings.xml><?xml version="1.0" encoding="utf-8"?>
<sst xmlns="http://schemas.openxmlformats.org/spreadsheetml/2006/main" count="6787" uniqueCount="631">
  <si>
    <t>Two</t>
  </si>
  <si>
    <t>Units</t>
  </si>
  <si>
    <t>Normal value</t>
  </si>
  <si>
    <t>A</t>
  </si>
  <si>
    <t>Not applicable</t>
  </si>
  <si>
    <t>_Z</t>
  </si>
  <si>
    <t>Annual</t>
  </si>
  <si>
    <t>Constant prices</t>
  </si>
  <si>
    <t>Q</t>
  </si>
  <si>
    <t>Weighted mean</t>
  </si>
  <si>
    <t>MEANW</t>
  </si>
  <si>
    <t>Euros per tonne of CO2-equivalent</t>
  </si>
  <si>
    <t>EUR_TCO2E</t>
  </si>
  <si>
    <t>Net effective carbon rate</t>
  </si>
  <si>
    <t>NETECR</t>
  </si>
  <si>
    <t>All sources</t>
  </si>
  <si>
    <t>_T</t>
  </si>
  <si>
    <t>Total</t>
  </si>
  <si>
    <t>World unspecified</t>
  </si>
  <si>
    <t>W_X</t>
  </si>
  <si>
    <t>I</t>
  </si>
  <si>
    <t>Net effective carbon rates</t>
  </si>
  <si>
    <t>OECD.CTP.TPS:DSD_NECR@DF_NECRS(1.1)</t>
  </si>
  <si>
    <t>DATAFLOW</t>
  </si>
  <si>
    <t>Other Europe</t>
  </si>
  <si>
    <t>E_O</t>
  </si>
  <si>
    <t>ODA recipient countries</t>
  </si>
  <si>
    <t>ODA</t>
  </si>
  <si>
    <t>Zambia</t>
  </si>
  <si>
    <t>ZMB</t>
  </si>
  <si>
    <t>Uruguay</t>
  </si>
  <si>
    <t>URY</t>
  </si>
  <si>
    <t>Uganda</t>
  </si>
  <si>
    <t>UGA</t>
  </si>
  <si>
    <t>South Africa</t>
  </si>
  <si>
    <t>ZAF</t>
  </si>
  <si>
    <t>Singapore</t>
  </si>
  <si>
    <t>SGP</t>
  </si>
  <si>
    <t>Rwanda</t>
  </si>
  <si>
    <t>RWA</t>
  </si>
  <si>
    <t>Russia</t>
  </si>
  <si>
    <t>RUS</t>
  </si>
  <si>
    <t>Romania</t>
  </si>
  <si>
    <t>ROU</t>
  </si>
  <si>
    <t>Philippines</t>
  </si>
  <si>
    <t>PHL</t>
  </si>
  <si>
    <t>Peru</t>
  </si>
  <si>
    <t>PER</t>
  </si>
  <si>
    <t>Paraguay</t>
  </si>
  <si>
    <t>PRY</t>
  </si>
  <si>
    <t>Panama</t>
  </si>
  <si>
    <t>PAN</t>
  </si>
  <si>
    <t>Mauritius</t>
  </si>
  <si>
    <t>MUS</t>
  </si>
  <si>
    <t>Malta</t>
  </si>
  <si>
    <t>MLT</t>
  </si>
  <si>
    <t>Kyrgyzstan</t>
  </si>
  <si>
    <t>KGZ</t>
  </si>
  <si>
    <t>Kenya</t>
  </si>
  <si>
    <t>KEN</t>
  </si>
  <si>
    <t>Jamaica</t>
  </si>
  <si>
    <t>JAM</t>
  </si>
  <si>
    <t>India</t>
  </si>
  <si>
    <t>IND</t>
  </si>
  <si>
    <t>Guatemala</t>
  </si>
  <si>
    <t>GTM</t>
  </si>
  <si>
    <t>Ghana</t>
  </si>
  <si>
    <t>GHA</t>
  </si>
  <si>
    <t>Dominican Republic</t>
  </si>
  <si>
    <t>DOM</t>
  </si>
  <si>
    <t>Cyprus</t>
  </si>
  <si>
    <t>CYP</t>
  </si>
  <si>
    <t>Croatia</t>
  </si>
  <si>
    <t>HRV</t>
  </si>
  <si>
    <t>CHN</t>
  </si>
  <si>
    <t>Bulgaria</t>
  </si>
  <si>
    <t>BGR</t>
  </si>
  <si>
    <t>Brazil</t>
  </si>
  <si>
    <t>BRA</t>
  </si>
  <si>
    <t>Argentina</t>
  </si>
  <si>
    <t>ARG</t>
  </si>
  <si>
    <t>OECD (evolving composition)</t>
  </si>
  <si>
    <t>OECD00</t>
  </si>
  <si>
    <t>European Union (evolving composition) unspecified</t>
  </si>
  <si>
    <t>EU00_X</t>
  </si>
  <si>
    <t>G20</t>
  </si>
  <si>
    <t>G7</t>
  </si>
  <si>
    <t>United Kingdom</t>
  </si>
  <si>
    <t>GBR</t>
  </si>
  <si>
    <t>TUR</t>
  </si>
  <si>
    <t>Switzerland</t>
  </si>
  <si>
    <t>CHE</t>
  </si>
  <si>
    <t>Sweden</t>
  </si>
  <si>
    <t>SWE</t>
  </si>
  <si>
    <t>Spain</t>
  </si>
  <si>
    <t>ESP</t>
  </si>
  <si>
    <t>Slovenia</t>
  </si>
  <si>
    <t>SVN</t>
  </si>
  <si>
    <t>Slovak Republic</t>
  </si>
  <si>
    <t>SVK</t>
  </si>
  <si>
    <t>Portugal</t>
  </si>
  <si>
    <t>PRT</t>
  </si>
  <si>
    <t>Poland</t>
  </si>
  <si>
    <t>POL</t>
  </si>
  <si>
    <t>Norway</t>
  </si>
  <si>
    <t>NOR</t>
  </si>
  <si>
    <t>New Zealand</t>
  </si>
  <si>
    <t>NZL</t>
  </si>
  <si>
    <t>Netherlands</t>
  </si>
  <si>
    <t>NLD</t>
  </si>
  <si>
    <t>Mexico</t>
  </si>
  <si>
    <t>MEX</t>
  </si>
  <si>
    <t>Luxembourg</t>
  </si>
  <si>
    <t>LUX</t>
  </si>
  <si>
    <t>Lithuania</t>
  </si>
  <si>
    <t>LTU</t>
  </si>
  <si>
    <t>Latvia</t>
  </si>
  <si>
    <t>LVA</t>
  </si>
  <si>
    <t>Korea</t>
  </si>
  <si>
    <t>KOR</t>
  </si>
  <si>
    <t>Japan</t>
  </si>
  <si>
    <t>JPN</t>
  </si>
  <si>
    <t>Italy</t>
  </si>
  <si>
    <t>ITA</t>
  </si>
  <si>
    <t>Israel</t>
  </si>
  <si>
    <t>ISR</t>
  </si>
  <si>
    <t>Ireland</t>
  </si>
  <si>
    <t>IRL</t>
  </si>
  <si>
    <t>Iceland</t>
  </si>
  <si>
    <t>ISL</t>
  </si>
  <si>
    <t>Hungary</t>
  </si>
  <si>
    <t>HUN</t>
  </si>
  <si>
    <t>Greece</t>
  </si>
  <si>
    <t>GRC</t>
  </si>
  <si>
    <t>Germany</t>
  </si>
  <si>
    <t>DEU</t>
  </si>
  <si>
    <t>France</t>
  </si>
  <si>
    <t>FRA</t>
  </si>
  <si>
    <t>Finland</t>
  </si>
  <si>
    <t>FIN</t>
  </si>
  <si>
    <t>Estonia</t>
  </si>
  <si>
    <t>EST</t>
  </si>
  <si>
    <t>Denmark</t>
  </si>
  <si>
    <t>DNK</t>
  </si>
  <si>
    <t>Czechia</t>
  </si>
  <si>
    <t>CZE</t>
  </si>
  <si>
    <t>Costa Rica</t>
  </si>
  <si>
    <t>CRI</t>
  </si>
  <si>
    <t>Chile</t>
  </si>
  <si>
    <t>CHL</t>
  </si>
  <si>
    <t>Canada</t>
  </si>
  <si>
    <t>CAN</t>
  </si>
  <si>
    <t>Belgium</t>
  </si>
  <si>
    <t>BEL</t>
  </si>
  <si>
    <t>Austria</t>
  </si>
  <si>
    <t>AUT</t>
  </si>
  <si>
    <t>Australia</t>
  </si>
  <si>
    <t>AUS</t>
  </si>
  <si>
    <t>Euro</t>
  </si>
  <si>
    <t>EUR</t>
  </si>
  <si>
    <t>National currency per tonne of CO2-equivalent</t>
  </si>
  <si>
    <t>XDC_TCO2E</t>
  </si>
  <si>
    <t>Kwacha</t>
  </si>
  <si>
    <t>ZMW</t>
  </si>
  <si>
    <t>Uruguayan peso</t>
  </si>
  <si>
    <t>UYU</t>
  </si>
  <si>
    <t>Uganda shilling</t>
  </si>
  <si>
    <t>UGX</t>
  </si>
  <si>
    <t>Rand</t>
  </si>
  <si>
    <t>ZAR</t>
  </si>
  <si>
    <t>Singapore dollar</t>
  </si>
  <si>
    <t>SGD</t>
  </si>
  <si>
    <t>Rwanda franc</t>
  </si>
  <si>
    <t>RWF</t>
  </si>
  <si>
    <t>Russian ruble</t>
  </si>
  <si>
    <t>RUB</t>
  </si>
  <si>
    <t>Romanian leu</t>
  </si>
  <si>
    <t>RON</t>
  </si>
  <si>
    <t>Philippine peso</t>
  </si>
  <si>
    <t>PHP</t>
  </si>
  <si>
    <t>Peruvian sol</t>
  </si>
  <si>
    <t>PEN</t>
  </si>
  <si>
    <t>Guarani</t>
  </si>
  <si>
    <t>PYG</t>
  </si>
  <si>
    <t>Balboa</t>
  </si>
  <si>
    <t>PAB</t>
  </si>
  <si>
    <t>Mauritius rupee</t>
  </si>
  <si>
    <t>MUR</t>
  </si>
  <si>
    <t>Som</t>
  </si>
  <si>
    <t>KGS</t>
  </si>
  <si>
    <t>Kenyan shilling</t>
  </si>
  <si>
    <t>KES</t>
  </si>
  <si>
    <t>Jamaican dollar</t>
  </si>
  <si>
    <t>JMD</t>
  </si>
  <si>
    <t>Indian rupee</t>
  </si>
  <si>
    <t>INR</t>
  </si>
  <si>
    <t>Quetzal</t>
  </si>
  <si>
    <t>GTQ</t>
  </si>
  <si>
    <t>Ghana cedi</t>
  </si>
  <si>
    <t>GHS</t>
  </si>
  <si>
    <t>Dominican peso</t>
  </si>
  <si>
    <t>DOP</t>
  </si>
  <si>
    <t>Chinese yuan renminbi</t>
  </si>
  <si>
    <t>CNY</t>
  </si>
  <si>
    <t>Bulgarian lev</t>
  </si>
  <si>
    <t>BGN</t>
  </si>
  <si>
    <t>Brazilian real</t>
  </si>
  <si>
    <t>BRL</t>
  </si>
  <si>
    <t>Argentine peso</t>
  </si>
  <si>
    <t>ARS</t>
  </si>
  <si>
    <t>Pound sterling</t>
  </si>
  <si>
    <t>GBP</t>
  </si>
  <si>
    <t>Turkish lira</t>
  </si>
  <si>
    <t>TRY</t>
  </si>
  <si>
    <t>Swiss franc</t>
  </si>
  <si>
    <t>CHF</t>
  </si>
  <si>
    <t>Swedish krona</t>
  </si>
  <si>
    <t>SEK</t>
  </si>
  <si>
    <t>Zloty</t>
  </si>
  <si>
    <t>PLN</t>
  </si>
  <si>
    <t>Norwegian krone</t>
  </si>
  <si>
    <t>NOK</t>
  </si>
  <si>
    <t>New Zealand dollar</t>
  </si>
  <si>
    <t>NZD</t>
  </si>
  <si>
    <t>Mexican peso</t>
  </si>
  <si>
    <t>MXN</t>
  </si>
  <si>
    <t>Won</t>
  </si>
  <si>
    <t>KRW</t>
  </si>
  <si>
    <t>Yen</t>
  </si>
  <si>
    <t>JPY</t>
  </si>
  <si>
    <t>New Israeli sheqel</t>
  </si>
  <si>
    <t>ILS</t>
  </si>
  <si>
    <t>Iceland krona</t>
  </si>
  <si>
    <t>ISK</t>
  </si>
  <si>
    <t>Forint</t>
  </si>
  <si>
    <t>HUF</t>
  </si>
  <si>
    <t>Danish krone</t>
  </si>
  <si>
    <t>DKK</t>
  </si>
  <si>
    <t>Czech koruna</t>
  </si>
  <si>
    <t>CZK</t>
  </si>
  <si>
    <t>Costa Rican colon</t>
  </si>
  <si>
    <t>CRC</t>
  </si>
  <si>
    <t>Chilean peso</t>
  </si>
  <si>
    <t>CLP</t>
  </si>
  <si>
    <t>Canadian dollar</t>
  </si>
  <si>
    <t>CAD</t>
  </si>
  <si>
    <t>Australian dollar</t>
  </si>
  <si>
    <t>AUD</t>
  </si>
  <si>
    <t>Decimals</t>
  </si>
  <si>
    <t>DECIMALS</t>
  </si>
  <si>
    <t>Unit multiplier</t>
  </si>
  <si>
    <t>UNIT_MULT</t>
  </si>
  <si>
    <t>Observation status</t>
  </si>
  <si>
    <t>OBS_STATUS</t>
  </si>
  <si>
    <t>Base period</t>
  </si>
  <si>
    <t>BASE_PER</t>
  </si>
  <si>
    <t>Currency</t>
  </si>
  <si>
    <t>CURRENCY</t>
  </si>
  <si>
    <t>Observation value</t>
  </si>
  <si>
    <t>OBS_VALUE</t>
  </si>
  <si>
    <t>Time period</t>
  </si>
  <si>
    <t>TIME_PERIOD</t>
  </si>
  <si>
    <t>Frequency of observation</t>
  </si>
  <si>
    <t>FREQ</t>
  </si>
  <si>
    <t>Price base</t>
  </si>
  <si>
    <t>PRICE_BASE</t>
  </si>
  <si>
    <t>Statistical operation</t>
  </si>
  <si>
    <t>STATISTICAL_OPERATION</t>
  </si>
  <si>
    <t>Unit of measure</t>
  </si>
  <si>
    <t>UNIT_MEASURE</t>
  </si>
  <si>
    <t>Carbon price level</t>
  </si>
  <si>
    <t>PRICE_LEVEL</t>
  </si>
  <si>
    <t>Measure</t>
  </si>
  <si>
    <t>MEASURE</t>
  </si>
  <si>
    <t>Emissions source</t>
  </si>
  <si>
    <t>EMISSIONS_SOURCE</t>
  </si>
  <si>
    <t>Economic sector</t>
  </si>
  <si>
    <t>SECTOR</t>
  </si>
  <si>
    <t>Reference area</t>
  </si>
  <si>
    <t>REF_AREA</t>
  </si>
  <si>
    <t>ACTION</t>
  </si>
  <si>
    <t>STRUCTURE_NAME</t>
  </si>
  <si>
    <t>STRUCTURE_ID</t>
  </si>
  <si>
    <t>STRUCTURE</t>
  </si>
  <si>
    <t>China</t>
  </si>
  <si>
    <t>Turkey</t>
  </si>
  <si>
    <t>Emission</t>
  </si>
  <si>
    <t>Entity</t>
  </si>
  <si>
    <t>Code</t>
  </si>
  <si>
    <t>Year</t>
  </si>
  <si>
    <t>Afghanistan</t>
  </si>
  <si>
    <t>AFG</t>
  </si>
  <si>
    <t>Africa</t>
  </si>
  <si>
    <t>Africa (GCP)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</si>
  <si>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</si>
  <si>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</si>
  <si>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</si>
  <si>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</si>
  <si>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</si>
  <si>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</si>
  <si>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</si>
  <si>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</si>
  <si>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Anguilla</t>
  </si>
  <si>
    <t>AIA</t>
  </si>
  <si>
    <t>Antarctica</t>
  </si>
  <si>
    <t>ATA</t>
  </si>
  <si>
    <t>Antigua and Barbuda</t>
  </si>
  <si>
    <t>ATG</t>
  </si>
  <si>
    <t>Armenia</t>
  </si>
  <si>
    <t>ARM</t>
  </si>
  <si>
    <t>Aruba</t>
  </si>
  <si>
    <t>ABW</t>
  </si>
  <si>
    <t>Asia</t>
  </si>
  <si>
    <t>Asia (GCP)</t>
  </si>
  <si>
    <t>Asia (excl. China and India)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</si>
  <si>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</si>
  <si>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</si>
  <si>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</si>
  <si>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</si>
  <si>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</si>
  <si>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</si>
  <si>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</si>
  <si>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</si>
  <si>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</si>
  <si>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</si>
  <si>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</si>
  <si>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</si>
  <si>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</si>
  <si>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</si>
  <si>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</si>
  <si>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</si>
  <si>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</si>
  <si>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</si>
  <si>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</si>
  <si>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</si>
  <si>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</si>
  <si>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</si>
  <si>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 Sint Eustatius and Saba</t>
  </si>
  <si>
    <t>BES</t>
  </si>
  <si>
    <t>Bosnia and Herzegovina</t>
  </si>
  <si>
    <t>BIH</t>
  </si>
  <si>
    <t>Botswana</t>
  </si>
  <si>
    <t>BWA</t>
  </si>
  <si>
    <t>British Virgin Islands</t>
  </si>
  <si>
    <t>VGB</t>
  </si>
  <si>
    <t>Brunei</t>
  </si>
  <si>
    <t>BRN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</si>
  <si>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</si>
  <si>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</si>
  <si>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</si>
  <si>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</si>
  <si>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</si>
  <si>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</si>
  <si>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</si>
  <si>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</si>
  <si>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Cape Verde</t>
  </si>
  <si>
    <t>CPV</t>
  </si>
  <si>
    <t>Central African Republic</t>
  </si>
  <si>
    <t>CAF</t>
  </si>
  <si>
    <t>Central America (GCP)</t>
  </si>
  <si>
    <t>Chad</t>
  </si>
  <si>
    <t>TCD</t>
  </si>
  <si>
    <t>Christmas Island</t>
  </si>
  <si>
    <t>CXR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</si>
  <si>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</si>
  <si>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</si>
  <si>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</si>
  <si>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</si>
  <si>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</si>
  <si>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</si>
  <si>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</si>
  <si>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</si>
  <si>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Cote d'Ivoire</t>
  </si>
  <si>
    <t>CIV</t>
  </si>
  <si>
    <t>Cuba</t>
  </si>
  <si>
    <t>CUB</t>
  </si>
  <si>
    <t>Curacao</t>
  </si>
  <si>
    <t>CUW</t>
  </si>
  <si>
    <t>Democratic Republic of Congo</t>
  </si>
  <si>
    <t>COD</t>
  </si>
  <si>
    <t>Djibouti</t>
  </si>
  <si>
    <t>DJI</t>
  </si>
  <si>
    <t>Dominica</t>
  </si>
  <si>
    <t>DMA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</si>
  <si>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</si>
  <si>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</si>
  <si>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</si>
  <si>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</si>
  <si>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</si>
  <si>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</si>
  <si>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</si>
  <si>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</si>
  <si>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</si>
  <si>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</si>
  <si>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</si>
  <si>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</si>
  <si>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Eswatini</t>
  </si>
  <si>
    <t>SWZ</t>
  </si>
  <si>
    <t>Ethiopia</t>
  </si>
  <si>
    <t>ETH</t>
  </si>
  <si>
    <t>Europe</t>
  </si>
  <si>
    <t>Europe (GCP)</t>
  </si>
  <si>
    <t>Europe (excl. EU-27)</t>
  </si>
  <si>
    <t>Europe (excl. EU-28)</t>
  </si>
  <si>
    <t>European Union (27)</t>
  </si>
  <si>
    <t>European Union (28)</t>
  </si>
  <si>
    <t>Faroe Islands</t>
  </si>
  <si>
    <t>FRO</t>
  </si>
  <si>
    <t>Fiji</t>
  </si>
  <si>
    <t>FJI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</si>
  <si>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</si>
  <si>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</si>
  <si>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</si>
  <si>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</si>
  <si>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</si>
  <si>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</si>
  <si>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</si>
  <si>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</si>
  <si>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Greenland</t>
  </si>
  <si>
    <t>GRL</t>
  </si>
  <si>
    <t>Grenada</t>
  </si>
  <si>
    <t>GRD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</si>
  <si>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</si>
  <si>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</si>
  <si>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</si>
  <si>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</si>
  <si>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</si>
  <si>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</si>
  <si>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</si>
  <si>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</si>
  <si>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</si>
  <si>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Honduras</t>
  </si>
  <si>
    <t>HND</t>
  </si>
  <si>
    <t>Hong Kong</t>
  </si>
  <si>
    <t>HKG</t>
  </si>
  <si>
    <t>Indonesia</t>
  </si>
  <si>
    <t>IDN</t>
  </si>
  <si>
    <t>International aviation</t>
  </si>
  <si>
    <t>International shipping</t>
  </si>
  <si>
    <t>Iran</t>
  </si>
  <si>
    <t>IRN</t>
  </si>
  <si>
    <t>Iraq</t>
  </si>
  <si>
    <t>IRQ</t>
  </si>
  <si>
    <t>Jordan</t>
  </si>
  <si>
    <t>JOR</t>
  </si>
  <si>
    <t>Kazakhstan</t>
  </si>
  <si>
    <t>KAZ</t>
  </si>
  <si>
    <t>Kiribati</t>
  </si>
  <si>
    <t>KIR</t>
  </si>
  <si>
    <t>Kosovo</t>
  </si>
  <si>
    <t>OWID_KOS</t>
  </si>
  <si>
    <t>Kuwait</t>
  </si>
  <si>
    <t>KWT</t>
  </si>
  <si>
    <t>Kuwaiti Oil Fires (GCP)</t>
  </si>
  <si>
    <t>Laos</t>
  </si>
  <si>
    <t>LAO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</si>
  <si>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</si>
  <si>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</si>
  <si>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</si>
  <si>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</si>
  <si>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</si>
  <si>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</si>
  <si>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</si>
  <si>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</si>
  <si>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</si>
  <si>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</si>
  <si>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Low-income countries</t>
  </si>
  <si>
    <t>Lower-middle-income countries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</si>
  <si>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</si>
  <si>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</si>
  <si>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</si>
  <si>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</si>
  <si>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</si>
  <si>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</si>
  <si>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</si>
  <si>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</si>
  <si>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</si>
  <si>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</si>
  <si>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</si>
  <si>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</si>
  <si>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Marshall Islands</t>
  </si>
  <si>
    <t>MHL</t>
  </si>
  <si>
    <t>Mauritania</t>
  </si>
  <si>
    <t>MRT</t>
  </si>
  <si>
    <t>Micronesia (country)</t>
  </si>
  <si>
    <t>FSM</t>
  </si>
  <si>
    <t>Middle East (GCP)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</si>
  <si>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</si>
  <si>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</si>
  <si>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</si>
  <si>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</si>
  <si>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</si>
  <si>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</si>
  <si>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</si>
  <si>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</si>
  <si>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</si>
  <si>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</si>
  <si>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</si>
  <si>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</si>
  <si>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</si>
  <si>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</si>
  <si>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</si>
  <si>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</si>
  <si>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</si>
  <si>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</si>
  <si>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</si>
  <si>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</si>
  <si>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New Caledonia</t>
  </si>
  <si>
    <t>NCL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</si>
  <si>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</si>
  <si>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</si>
  <si>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</si>
  <si>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</si>
  <si>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</si>
  <si>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</si>
  <si>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</si>
  <si>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</si>
  <si>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Non-OECD (GCP)</t>
  </si>
  <si>
    <t>North America</t>
  </si>
  <si>
    <t>North America (GCP)</t>
  </si>
  <si>
    <t>North America (excl. USA)</t>
  </si>
  <si>
    <t>North Korea</t>
  </si>
  <si>
    <t>PRK</t>
  </si>
  <si>
    <t>North Macedonia</t>
  </si>
  <si>
    <t>MKD</t>
  </si>
  <si>
    <t>OECD (GCP)</t>
  </si>
  <si>
    <t>Oceania</t>
  </si>
  <si>
    <t>Oceania (GCP)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</si>
  <si>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</si>
  <si>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</si>
  <si>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</si>
  <si>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</si>
  <si>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</si>
  <si>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</si>
  <si>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</si>
  <si>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</si>
  <si>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Papua New Guinea</t>
  </si>
  <si>
    <t>PNG</t>
  </si>
  <si>
    <t>Qatar</t>
  </si>
  <si>
    <t>QAT</t>
  </si>
  <si>
    <t>Ryukyu Islands (GCP)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</si>
  <si>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</si>
  <si>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</si>
  <si>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</si>
  <si>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</si>
  <si>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</si>
  <si>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</si>
  <si>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</si>
  <si>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</si>
  <si>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</si>
  <si>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</si>
  <si>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</si>
  <si>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</si>
  <si>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</si>
  <si>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</si>
  <si>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</si>
  <si>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</si>
  <si>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</si>
  <si>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</si>
  <si>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</si>
  <si>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</si>
  <si>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</si>
  <si>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</si>
  <si>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</si>
  <si>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</si>
  <si>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Sint Maarten (Dutch part)</t>
  </si>
  <si>
    <t>SXM</t>
  </si>
  <si>
    <t>Slovakia</t>
  </si>
  <si>
    <t>Solomon Islands</t>
  </si>
  <si>
    <t>SLB</t>
  </si>
  <si>
    <t>Somalia</t>
  </si>
  <si>
    <t>SOM</t>
  </si>
  <si>
    <t>South America</t>
  </si>
  <si>
    <t>South America (GCP)</t>
  </si>
  <si>
    <t>South Korea</t>
  </si>
  <si>
    <t>South Sudan</t>
  </si>
  <si>
    <t>SSD</t>
  </si>
  <si>
    <t>Sri Lanka</t>
  </si>
  <si>
    <t>LKA</t>
  </si>
  <si>
    <t>Sudan</t>
  </si>
  <si>
    <t>SDN</t>
  </si>
  <si>
    <t>Suriname</t>
  </si>
  <si>
    <t>SUR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</si>
  <si>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</si>
  <si>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</si>
  <si>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</si>
  <si>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</si>
  <si>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</si>
  <si>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</si>
  <si>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</si>
  <si>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</si>
  <si>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</si>
  <si>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</si>
  <si>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</si>
  <si>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</si>
  <si>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</si>
  <si>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</si>
  <si>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</si>
  <si>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</si>
  <si>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</si>
  <si>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</si>
  <si>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Turkmenistan</t>
  </si>
  <si>
    <t>TKM</t>
  </si>
  <si>
    <t>Turks and Caicos Islands</t>
  </si>
  <si>
    <t>TCA</t>
  </si>
  <si>
    <t>Tuvalu</t>
  </si>
  <si>
    <t>TUV</t>
  </si>
  <si>
    <t>Ukraine</t>
  </si>
  <si>
    <t>UKR</t>
  </si>
  <si>
    <t>United Arab Emirates</t>
  </si>
  <si>
    <t>ARE</t>
  </si>
  <si>
    <t>United States</t>
  </si>
  <si>
    <t>USA</t>
  </si>
  <si>
    <t>Upper-middle-income countries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</si>
  <si>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</si>
  <si>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</si>
  <si>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</si>
  <si>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</si>
  <si>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</si>
  <si>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</si>
  <si>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</si>
  <si>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</si>
  <si>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Wallis and Futuna</t>
  </si>
  <si>
    <t>WLF</t>
  </si>
  <si>
    <t>World</t>
  </si>
  <si>
    <t>OWID_WRL</t>
  </si>
  <si>
    <t>Yemen</t>
  </si>
  <si>
    <t>YEM</t>
  </si>
  <si>
    <t>Zimbabwe</t>
  </si>
  <si>
    <t>ZWE</t>
  </si>
  <si>
    <t xml:space="preserve">Data source: Global Carbon Budget (2025)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</si>
</sst>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5967-EF87-5A47-863A-BABAB4F2AFB4}">
  <sheetPr filterMode="1"/>
  <dimension ref="A1:AJ134"/>
  <sheetViews>
    <sheetView workbookViewId="0">
      <selection activeCell="B101" sqref="B101"/>
    </sheetView>
  </sheetViews>
  <sheetFormatPr baseColWidth="10" defaultRowHeight="16" x14ac:dyDescent="0.2"/>
  <cols>
    <col min="2" max="2" width="55" customWidth="1"/>
    <col min="3" max="3" width="24" customWidth="1"/>
    <col min="20" max="20" width="15.83203125" customWidth="1"/>
    <col min="27" max="27" width="15" customWidth="1"/>
    <col min="28" max="28" width="22.33203125" customWidth="1"/>
  </cols>
  <sheetData>
    <row r="1" spans="1:36" x14ac:dyDescent="0.2">
      <c r="A1" t="s">
        <v>283</v>
      </c>
      <c r="B1" t="s">
        <v>282</v>
      </c>
      <c r="C1" t="s">
        <v>281</v>
      </c>
      <c r="D1" t="s">
        <v>280</v>
      </c>
      <c r="E1" t="s">
        <v>279</v>
      </c>
      <c r="F1" t="s">
        <v>278</v>
      </c>
      <c r="G1" t="s">
        <v>277</v>
      </c>
      <c r="H1" t="s">
        <v>276</v>
      </c>
      <c r="I1" t="s">
        <v>275</v>
      </c>
      <c r="J1" t="s">
        <v>274</v>
      </c>
      <c r="K1" t="s">
        <v>273</v>
      </c>
      <c r="L1" t="s">
        <v>272</v>
      </c>
      <c r="M1" t="s">
        <v>271</v>
      </c>
      <c r="N1" t="s">
        <v>270</v>
      </c>
      <c r="O1" t="s">
        <v>269</v>
      </c>
      <c r="P1" t="s">
        <v>268</v>
      </c>
      <c r="Q1" t="s">
        <v>267</v>
      </c>
      <c r="R1" t="s">
        <v>266</v>
      </c>
      <c r="S1" t="s">
        <v>265</v>
      </c>
      <c r="T1" t="s">
        <v>264</v>
      </c>
      <c r="U1" t="s">
        <v>263</v>
      </c>
      <c r="V1" t="s">
        <v>262</v>
      </c>
      <c r="W1" t="s">
        <v>261</v>
      </c>
      <c r="X1" t="s">
        <v>260</v>
      </c>
      <c r="Y1" t="s">
        <v>259</v>
      </c>
      <c r="Z1" t="s">
        <v>258</v>
      </c>
      <c r="AA1" t="s">
        <v>257</v>
      </c>
      <c r="AB1" t="s">
        <v>256</v>
      </c>
      <c r="AC1" t="s">
        <v>255</v>
      </c>
      <c r="AD1" t="s">
        <v>254</v>
      </c>
      <c r="AE1" t="s">
        <v>253</v>
      </c>
      <c r="AF1" t="s">
        <v>252</v>
      </c>
      <c r="AG1" t="s">
        <v>251</v>
      </c>
      <c r="AH1" t="s">
        <v>250</v>
      </c>
      <c r="AI1" t="s">
        <v>249</v>
      </c>
      <c r="AJ1" t="s">
        <v>248</v>
      </c>
    </row>
    <row r="2" spans="1:36" hidden="1" x14ac:dyDescent="0.2">
      <c r="A2" t="s">
        <v>23</v>
      </c>
      <c r="B2" t="s">
        <v>22</v>
      </c>
      <c r="C2" t="s">
        <v>21</v>
      </c>
      <c r="D2" t="s">
        <v>20</v>
      </c>
      <c r="E2" t="s">
        <v>157</v>
      </c>
      <c r="F2" t="s">
        <v>156</v>
      </c>
      <c r="G2" t="s">
        <v>16</v>
      </c>
      <c r="H2" t="s">
        <v>17</v>
      </c>
      <c r="I2" t="s">
        <v>16</v>
      </c>
      <c r="J2" t="s">
        <v>15</v>
      </c>
      <c r="K2" t="s">
        <v>14</v>
      </c>
      <c r="L2" t="s">
        <v>13</v>
      </c>
      <c r="M2" t="s">
        <v>5</v>
      </c>
      <c r="N2" t="s">
        <v>4</v>
      </c>
      <c r="O2" t="s">
        <v>161</v>
      </c>
      <c r="P2" t="s">
        <v>160</v>
      </c>
      <c r="Q2" t="s">
        <v>10</v>
      </c>
      <c r="R2" t="s">
        <v>9</v>
      </c>
      <c r="S2" t="s">
        <v>8</v>
      </c>
      <c r="T2" t="s">
        <v>7</v>
      </c>
      <c r="U2" t="s">
        <v>3</v>
      </c>
      <c r="V2" t="s">
        <v>6</v>
      </c>
      <c r="W2">
        <v>2023</v>
      </c>
      <c r="Y2">
        <v>33.174025999999998</v>
      </c>
      <c r="AA2" t="s">
        <v>247</v>
      </c>
      <c r="AB2" t="s">
        <v>246</v>
      </c>
      <c r="AC2">
        <v>2023</v>
      </c>
      <c r="AE2" t="s">
        <v>3</v>
      </c>
      <c r="AF2" t="s">
        <v>2</v>
      </c>
      <c r="AG2">
        <v>0</v>
      </c>
      <c r="AH2" t="s">
        <v>1</v>
      </c>
      <c r="AI2">
        <v>2</v>
      </c>
      <c r="AJ2" t="s">
        <v>0</v>
      </c>
    </row>
    <row r="3" spans="1:36" hidden="1" x14ac:dyDescent="0.2">
      <c r="A3" t="s">
        <v>23</v>
      </c>
      <c r="B3" t="s">
        <v>22</v>
      </c>
      <c r="C3" t="s">
        <v>21</v>
      </c>
      <c r="D3" t="s">
        <v>20</v>
      </c>
      <c r="E3" t="s">
        <v>151</v>
      </c>
      <c r="F3" t="s">
        <v>150</v>
      </c>
      <c r="G3" t="s">
        <v>16</v>
      </c>
      <c r="H3" t="s">
        <v>17</v>
      </c>
      <c r="I3" t="s">
        <v>16</v>
      </c>
      <c r="J3" t="s">
        <v>15</v>
      </c>
      <c r="K3" t="s">
        <v>14</v>
      </c>
      <c r="L3" t="s">
        <v>13</v>
      </c>
      <c r="M3" t="s">
        <v>5</v>
      </c>
      <c r="N3" t="s">
        <v>4</v>
      </c>
      <c r="O3" t="s">
        <v>161</v>
      </c>
      <c r="P3" t="s">
        <v>160</v>
      </c>
      <c r="Q3" t="s">
        <v>10</v>
      </c>
      <c r="R3" t="s">
        <v>9</v>
      </c>
      <c r="S3" t="s">
        <v>8</v>
      </c>
      <c r="T3" t="s">
        <v>7</v>
      </c>
      <c r="U3" t="s">
        <v>3</v>
      </c>
      <c r="V3" t="s">
        <v>6</v>
      </c>
      <c r="W3">
        <v>2023</v>
      </c>
      <c r="Y3">
        <v>61.561615000000003</v>
      </c>
      <c r="AA3" t="s">
        <v>245</v>
      </c>
      <c r="AB3" t="s">
        <v>244</v>
      </c>
      <c r="AC3">
        <v>2023</v>
      </c>
      <c r="AE3" t="s">
        <v>3</v>
      </c>
      <c r="AF3" t="s">
        <v>2</v>
      </c>
      <c r="AG3">
        <v>0</v>
      </c>
      <c r="AH3" t="s">
        <v>1</v>
      </c>
      <c r="AI3">
        <v>2</v>
      </c>
      <c r="AJ3" t="s">
        <v>0</v>
      </c>
    </row>
    <row r="4" spans="1:36" hidden="1" x14ac:dyDescent="0.2">
      <c r="A4" t="s">
        <v>23</v>
      </c>
      <c r="B4" t="s">
        <v>22</v>
      </c>
      <c r="C4" t="s">
        <v>21</v>
      </c>
      <c r="D4" t="s">
        <v>20</v>
      </c>
      <c r="E4" t="s">
        <v>149</v>
      </c>
      <c r="F4" t="s">
        <v>148</v>
      </c>
      <c r="G4" t="s">
        <v>16</v>
      </c>
      <c r="H4" t="s">
        <v>17</v>
      </c>
      <c r="I4" t="s">
        <v>16</v>
      </c>
      <c r="J4" t="s">
        <v>15</v>
      </c>
      <c r="K4" t="s">
        <v>14</v>
      </c>
      <c r="L4" t="s">
        <v>13</v>
      </c>
      <c r="M4" t="s">
        <v>5</v>
      </c>
      <c r="N4" t="s">
        <v>4</v>
      </c>
      <c r="O4" t="s">
        <v>161</v>
      </c>
      <c r="P4" t="s">
        <v>160</v>
      </c>
      <c r="Q4" t="s">
        <v>10</v>
      </c>
      <c r="R4" t="s">
        <v>9</v>
      </c>
      <c r="S4" t="s">
        <v>8</v>
      </c>
      <c r="T4" t="s">
        <v>7</v>
      </c>
      <c r="U4" t="s">
        <v>3</v>
      </c>
      <c r="V4" t="s">
        <v>6</v>
      </c>
      <c r="W4">
        <v>2023</v>
      </c>
      <c r="Y4">
        <v>33398.207000000002</v>
      </c>
      <c r="AA4" t="s">
        <v>243</v>
      </c>
      <c r="AB4" t="s">
        <v>242</v>
      </c>
      <c r="AC4">
        <v>2023</v>
      </c>
      <c r="AE4" t="s">
        <v>3</v>
      </c>
      <c r="AF4" t="s">
        <v>2</v>
      </c>
      <c r="AG4">
        <v>0</v>
      </c>
      <c r="AH4" t="s">
        <v>1</v>
      </c>
      <c r="AI4">
        <v>2</v>
      </c>
      <c r="AJ4" t="s">
        <v>0</v>
      </c>
    </row>
    <row r="5" spans="1:36" hidden="1" x14ac:dyDescent="0.2">
      <c r="A5" t="s">
        <v>23</v>
      </c>
      <c r="B5" t="s">
        <v>22</v>
      </c>
      <c r="C5" t="s">
        <v>21</v>
      </c>
      <c r="D5" t="s">
        <v>20</v>
      </c>
      <c r="E5" t="s">
        <v>147</v>
      </c>
      <c r="F5" t="s">
        <v>146</v>
      </c>
      <c r="G5" t="s">
        <v>16</v>
      </c>
      <c r="H5" t="s">
        <v>17</v>
      </c>
      <c r="I5" t="s">
        <v>16</v>
      </c>
      <c r="J5" t="s">
        <v>15</v>
      </c>
      <c r="K5" t="s">
        <v>14</v>
      </c>
      <c r="L5" t="s">
        <v>13</v>
      </c>
      <c r="M5" t="s">
        <v>5</v>
      </c>
      <c r="N5" t="s">
        <v>4</v>
      </c>
      <c r="O5" t="s">
        <v>161</v>
      </c>
      <c r="P5" t="s">
        <v>160</v>
      </c>
      <c r="Q5" t="s">
        <v>10</v>
      </c>
      <c r="R5" t="s">
        <v>9</v>
      </c>
      <c r="S5" t="s">
        <v>8</v>
      </c>
      <c r="T5" t="s">
        <v>7</v>
      </c>
      <c r="U5" t="s">
        <v>3</v>
      </c>
      <c r="V5" t="s">
        <v>6</v>
      </c>
      <c r="W5">
        <v>2023</v>
      </c>
      <c r="Y5">
        <v>39667.976999999999</v>
      </c>
      <c r="AA5" t="s">
        <v>241</v>
      </c>
      <c r="AB5" t="s">
        <v>240</v>
      </c>
      <c r="AC5">
        <v>2023</v>
      </c>
      <c r="AE5" t="s">
        <v>3</v>
      </c>
      <c r="AF5" t="s">
        <v>2</v>
      </c>
      <c r="AG5">
        <v>0</v>
      </c>
      <c r="AH5" t="s">
        <v>1</v>
      </c>
      <c r="AI5">
        <v>2</v>
      </c>
      <c r="AJ5" t="s">
        <v>0</v>
      </c>
    </row>
    <row r="6" spans="1:36" hidden="1" x14ac:dyDescent="0.2">
      <c r="A6" t="s">
        <v>23</v>
      </c>
      <c r="B6" t="s">
        <v>22</v>
      </c>
      <c r="C6" t="s">
        <v>21</v>
      </c>
      <c r="D6" t="s">
        <v>20</v>
      </c>
      <c r="E6" t="s">
        <v>145</v>
      </c>
      <c r="F6" t="s">
        <v>144</v>
      </c>
      <c r="G6" t="s">
        <v>16</v>
      </c>
      <c r="H6" t="s">
        <v>17</v>
      </c>
      <c r="I6" t="s">
        <v>16</v>
      </c>
      <c r="J6" t="s">
        <v>15</v>
      </c>
      <c r="K6" t="s">
        <v>14</v>
      </c>
      <c r="L6" t="s">
        <v>13</v>
      </c>
      <c r="M6" t="s">
        <v>5</v>
      </c>
      <c r="N6" t="s">
        <v>4</v>
      </c>
      <c r="O6" t="s">
        <v>161</v>
      </c>
      <c r="P6" t="s">
        <v>160</v>
      </c>
      <c r="Q6" t="s">
        <v>10</v>
      </c>
      <c r="R6" t="s">
        <v>9</v>
      </c>
      <c r="S6" t="s">
        <v>8</v>
      </c>
      <c r="T6" t="s">
        <v>7</v>
      </c>
      <c r="U6" t="s">
        <v>3</v>
      </c>
      <c r="V6" t="s">
        <v>6</v>
      </c>
      <c r="W6">
        <v>2023</v>
      </c>
      <c r="Y6">
        <v>1634.1210000000001</v>
      </c>
      <c r="AA6" t="s">
        <v>239</v>
      </c>
      <c r="AB6" t="s">
        <v>238</v>
      </c>
      <c r="AC6">
        <v>2023</v>
      </c>
      <c r="AE6" t="s">
        <v>3</v>
      </c>
      <c r="AF6" t="s">
        <v>2</v>
      </c>
      <c r="AG6">
        <v>0</v>
      </c>
      <c r="AH6" t="s">
        <v>1</v>
      </c>
      <c r="AI6">
        <v>2</v>
      </c>
      <c r="AJ6" t="s">
        <v>0</v>
      </c>
    </row>
    <row r="7" spans="1:36" hidden="1" x14ac:dyDescent="0.2">
      <c r="A7" t="s">
        <v>23</v>
      </c>
      <c r="B7" t="s">
        <v>22</v>
      </c>
      <c r="C7" t="s">
        <v>21</v>
      </c>
      <c r="D7" t="s">
        <v>20</v>
      </c>
      <c r="E7" t="s">
        <v>143</v>
      </c>
      <c r="F7" t="s">
        <v>142</v>
      </c>
      <c r="G7" t="s">
        <v>16</v>
      </c>
      <c r="H7" t="s">
        <v>17</v>
      </c>
      <c r="I7" t="s">
        <v>16</v>
      </c>
      <c r="J7" t="s">
        <v>15</v>
      </c>
      <c r="K7" t="s">
        <v>14</v>
      </c>
      <c r="L7" t="s">
        <v>13</v>
      </c>
      <c r="M7" t="s">
        <v>5</v>
      </c>
      <c r="N7" t="s">
        <v>4</v>
      </c>
      <c r="O7" t="s">
        <v>161</v>
      </c>
      <c r="P7" t="s">
        <v>160</v>
      </c>
      <c r="Q7" t="s">
        <v>10</v>
      </c>
      <c r="R7" t="s">
        <v>9</v>
      </c>
      <c r="S7" t="s">
        <v>8</v>
      </c>
      <c r="T7" t="s">
        <v>7</v>
      </c>
      <c r="U7" t="s">
        <v>3</v>
      </c>
      <c r="V7" t="s">
        <v>6</v>
      </c>
      <c r="W7">
        <v>2023</v>
      </c>
      <c r="Y7">
        <v>805.61028999999996</v>
      </c>
      <c r="AA7" t="s">
        <v>237</v>
      </c>
      <c r="AB7" t="s">
        <v>236</v>
      </c>
      <c r="AC7">
        <v>2023</v>
      </c>
      <c r="AE7" t="s">
        <v>3</v>
      </c>
      <c r="AF7" t="s">
        <v>2</v>
      </c>
      <c r="AG7">
        <v>0</v>
      </c>
      <c r="AH7" t="s">
        <v>1</v>
      </c>
      <c r="AI7">
        <v>2</v>
      </c>
      <c r="AJ7" t="s">
        <v>0</v>
      </c>
    </row>
    <row r="8" spans="1:36" hidden="1" x14ac:dyDescent="0.2">
      <c r="A8" t="s">
        <v>23</v>
      </c>
      <c r="B8" t="s">
        <v>22</v>
      </c>
      <c r="C8" t="s">
        <v>21</v>
      </c>
      <c r="D8" t="s">
        <v>20</v>
      </c>
      <c r="E8" t="s">
        <v>131</v>
      </c>
      <c r="F8" t="s">
        <v>130</v>
      </c>
      <c r="G8" t="s">
        <v>16</v>
      </c>
      <c r="H8" t="s">
        <v>17</v>
      </c>
      <c r="I8" t="s">
        <v>16</v>
      </c>
      <c r="J8" t="s">
        <v>15</v>
      </c>
      <c r="K8" t="s">
        <v>14</v>
      </c>
      <c r="L8" t="s">
        <v>13</v>
      </c>
      <c r="M8" t="s">
        <v>5</v>
      </c>
      <c r="N8" t="s">
        <v>4</v>
      </c>
      <c r="O8" t="s">
        <v>161</v>
      </c>
      <c r="P8" t="s">
        <v>160</v>
      </c>
      <c r="Q8" t="s">
        <v>10</v>
      </c>
      <c r="R8" t="s">
        <v>9</v>
      </c>
      <c r="S8" t="s">
        <v>8</v>
      </c>
      <c r="T8" t="s">
        <v>7</v>
      </c>
      <c r="U8" t="s">
        <v>3</v>
      </c>
      <c r="V8" t="s">
        <v>6</v>
      </c>
      <c r="W8">
        <v>2023</v>
      </c>
      <c r="Y8">
        <v>21136.173999999999</v>
      </c>
      <c r="AA8" t="s">
        <v>235</v>
      </c>
      <c r="AB8" t="s">
        <v>234</v>
      </c>
      <c r="AC8">
        <v>2023</v>
      </c>
      <c r="AE8" t="s">
        <v>3</v>
      </c>
      <c r="AF8" t="s">
        <v>2</v>
      </c>
      <c r="AG8">
        <v>0</v>
      </c>
      <c r="AH8" t="s">
        <v>1</v>
      </c>
      <c r="AI8">
        <v>2</v>
      </c>
      <c r="AJ8" t="s">
        <v>0</v>
      </c>
    </row>
    <row r="9" spans="1:36" hidden="1" x14ac:dyDescent="0.2">
      <c r="A9" t="s">
        <v>23</v>
      </c>
      <c r="B9" t="s">
        <v>22</v>
      </c>
      <c r="C9" t="s">
        <v>21</v>
      </c>
      <c r="D9" t="s">
        <v>20</v>
      </c>
      <c r="E9" t="s">
        <v>129</v>
      </c>
      <c r="F9" t="s">
        <v>128</v>
      </c>
      <c r="G9" t="s">
        <v>16</v>
      </c>
      <c r="H9" t="s">
        <v>17</v>
      </c>
      <c r="I9" t="s">
        <v>16</v>
      </c>
      <c r="J9" t="s">
        <v>15</v>
      </c>
      <c r="K9" t="s">
        <v>14</v>
      </c>
      <c r="L9" t="s">
        <v>13</v>
      </c>
      <c r="M9" t="s">
        <v>5</v>
      </c>
      <c r="N9" t="s">
        <v>4</v>
      </c>
      <c r="O9" t="s">
        <v>161</v>
      </c>
      <c r="P9" t="s">
        <v>160</v>
      </c>
      <c r="Q9" t="s">
        <v>10</v>
      </c>
      <c r="R9" t="s">
        <v>9</v>
      </c>
      <c r="S9" t="s">
        <v>8</v>
      </c>
      <c r="T9" t="s">
        <v>7</v>
      </c>
      <c r="U9" t="s">
        <v>3</v>
      </c>
      <c r="V9" t="s">
        <v>6</v>
      </c>
      <c r="W9">
        <v>2023</v>
      </c>
      <c r="Y9">
        <v>14424.815000000001</v>
      </c>
      <c r="AA9" t="s">
        <v>233</v>
      </c>
      <c r="AB9" t="s">
        <v>232</v>
      </c>
      <c r="AC9">
        <v>2023</v>
      </c>
      <c r="AE9" t="s">
        <v>3</v>
      </c>
      <c r="AF9" t="s">
        <v>2</v>
      </c>
      <c r="AG9">
        <v>0</v>
      </c>
      <c r="AH9" t="s">
        <v>1</v>
      </c>
      <c r="AI9">
        <v>2</v>
      </c>
      <c r="AJ9" t="s">
        <v>0</v>
      </c>
    </row>
    <row r="10" spans="1:36" hidden="1" x14ac:dyDescent="0.2">
      <c r="A10" t="s">
        <v>23</v>
      </c>
      <c r="B10" t="s">
        <v>22</v>
      </c>
      <c r="C10" t="s">
        <v>21</v>
      </c>
      <c r="D10" t="s">
        <v>20</v>
      </c>
      <c r="E10" t="s">
        <v>125</v>
      </c>
      <c r="F10" t="s">
        <v>124</v>
      </c>
      <c r="G10" t="s">
        <v>16</v>
      </c>
      <c r="H10" t="s">
        <v>17</v>
      </c>
      <c r="I10" t="s">
        <v>16</v>
      </c>
      <c r="J10" t="s">
        <v>15</v>
      </c>
      <c r="K10" t="s">
        <v>14</v>
      </c>
      <c r="L10" t="s">
        <v>13</v>
      </c>
      <c r="M10" t="s">
        <v>5</v>
      </c>
      <c r="N10" t="s">
        <v>4</v>
      </c>
      <c r="O10" t="s">
        <v>161</v>
      </c>
      <c r="P10" t="s">
        <v>160</v>
      </c>
      <c r="Q10" t="s">
        <v>10</v>
      </c>
      <c r="R10" t="s">
        <v>9</v>
      </c>
      <c r="S10" t="s">
        <v>8</v>
      </c>
      <c r="T10" t="s">
        <v>7</v>
      </c>
      <c r="U10" t="s">
        <v>3</v>
      </c>
      <c r="V10" t="s">
        <v>6</v>
      </c>
      <c r="W10">
        <v>2023</v>
      </c>
      <c r="Y10">
        <v>282.84320000000002</v>
      </c>
      <c r="AA10" t="s">
        <v>231</v>
      </c>
      <c r="AB10" t="s">
        <v>230</v>
      </c>
      <c r="AC10">
        <v>2023</v>
      </c>
      <c r="AE10" t="s">
        <v>3</v>
      </c>
      <c r="AF10" t="s">
        <v>2</v>
      </c>
      <c r="AG10">
        <v>0</v>
      </c>
      <c r="AH10" t="s">
        <v>1</v>
      </c>
      <c r="AI10">
        <v>2</v>
      </c>
      <c r="AJ10" t="s">
        <v>0</v>
      </c>
    </row>
    <row r="11" spans="1:36" hidden="1" x14ac:dyDescent="0.2">
      <c r="A11" t="s">
        <v>23</v>
      </c>
      <c r="B11" t="s">
        <v>22</v>
      </c>
      <c r="C11" t="s">
        <v>21</v>
      </c>
      <c r="D11" t="s">
        <v>20</v>
      </c>
      <c r="E11" t="s">
        <v>121</v>
      </c>
      <c r="F11" t="s">
        <v>120</v>
      </c>
      <c r="G11" t="s">
        <v>16</v>
      </c>
      <c r="H11" t="s">
        <v>17</v>
      </c>
      <c r="I11" t="s">
        <v>16</v>
      </c>
      <c r="J11" t="s">
        <v>15</v>
      </c>
      <c r="K11" t="s">
        <v>14</v>
      </c>
      <c r="L11" t="s">
        <v>13</v>
      </c>
      <c r="M11" t="s">
        <v>5</v>
      </c>
      <c r="N11" t="s">
        <v>4</v>
      </c>
      <c r="O11" t="s">
        <v>161</v>
      </c>
      <c r="P11" t="s">
        <v>160</v>
      </c>
      <c r="Q11" t="s">
        <v>10</v>
      </c>
      <c r="R11" t="s">
        <v>9</v>
      </c>
      <c r="S11" t="s">
        <v>8</v>
      </c>
      <c r="T11" t="s">
        <v>7</v>
      </c>
      <c r="U11" t="s">
        <v>3</v>
      </c>
      <c r="V11" t="s">
        <v>6</v>
      </c>
      <c r="W11">
        <v>2023</v>
      </c>
      <c r="Y11">
        <v>873.27972</v>
      </c>
      <c r="AA11" t="s">
        <v>229</v>
      </c>
      <c r="AB11" t="s">
        <v>228</v>
      </c>
      <c r="AC11">
        <v>2023</v>
      </c>
      <c r="AE11" t="s">
        <v>3</v>
      </c>
      <c r="AF11" t="s">
        <v>2</v>
      </c>
      <c r="AG11">
        <v>0</v>
      </c>
      <c r="AH11" t="s">
        <v>1</v>
      </c>
      <c r="AI11">
        <v>2</v>
      </c>
      <c r="AJ11" t="s">
        <v>0</v>
      </c>
    </row>
    <row r="12" spans="1:36" hidden="1" x14ac:dyDescent="0.2">
      <c r="A12" t="s">
        <v>23</v>
      </c>
      <c r="B12" t="s">
        <v>22</v>
      </c>
      <c r="C12" t="s">
        <v>21</v>
      </c>
      <c r="D12" t="s">
        <v>20</v>
      </c>
      <c r="E12" t="s">
        <v>119</v>
      </c>
      <c r="F12" t="s">
        <v>118</v>
      </c>
      <c r="G12" t="s">
        <v>16</v>
      </c>
      <c r="H12" t="s">
        <v>17</v>
      </c>
      <c r="I12" t="s">
        <v>16</v>
      </c>
      <c r="J12" t="s">
        <v>15</v>
      </c>
      <c r="K12" t="s">
        <v>14</v>
      </c>
      <c r="L12" t="s">
        <v>13</v>
      </c>
      <c r="M12" t="s">
        <v>5</v>
      </c>
      <c r="N12" t="s">
        <v>4</v>
      </c>
      <c r="O12" t="s">
        <v>161</v>
      </c>
      <c r="P12" t="s">
        <v>160</v>
      </c>
      <c r="Q12" t="s">
        <v>10</v>
      </c>
      <c r="R12" t="s">
        <v>9</v>
      </c>
      <c r="S12" t="s">
        <v>8</v>
      </c>
      <c r="T12" t="s">
        <v>7</v>
      </c>
      <c r="U12" t="s">
        <v>3</v>
      </c>
      <c r="V12" t="s">
        <v>6</v>
      </c>
      <c r="W12">
        <v>2023</v>
      </c>
      <c r="Y12">
        <v>38617.788999999997</v>
      </c>
      <c r="AA12" t="s">
        <v>227</v>
      </c>
      <c r="AB12" t="s">
        <v>226</v>
      </c>
      <c r="AC12">
        <v>2023</v>
      </c>
      <c r="AE12" t="s">
        <v>3</v>
      </c>
      <c r="AF12" t="s">
        <v>2</v>
      </c>
      <c r="AG12">
        <v>0</v>
      </c>
      <c r="AH12" t="s">
        <v>1</v>
      </c>
      <c r="AI12">
        <v>2</v>
      </c>
      <c r="AJ12" t="s">
        <v>0</v>
      </c>
    </row>
    <row r="13" spans="1:36" hidden="1" x14ac:dyDescent="0.2">
      <c r="A13" t="s">
        <v>23</v>
      </c>
      <c r="B13" t="s">
        <v>22</v>
      </c>
      <c r="C13" t="s">
        <v>21</v>
      </c>
      <c r="D13" t="s">
        <v>20</v>
      </c>
      <c r="E13" t="s">
        <v>111</v>
      </c>
      <c r="F13" t="s">
        <v>110</v>
      </c>
      <c r="G13" t="s">
        <v>16</v>
      </c>
      <c r="H13" t="s">
        <v>17</v>
      </c>
      <c r="I13" t="s">
        <v>16</v>
      </c>
      <c r="J13" t="s">
        <v>15</v>
      </c>
      <c r="K13" t="s">
        <v>14</v>
      </c>
      <c r="L13" t="s">
        <v>13</v>
      </c>
      <c r="M13" t="s">
        <v>5</v>
      </c>
      <c r="N13" t="s">
        <v>4</v>
      </c>
      <c r="O13" t="s">
        <v>161</v>
      </c>
      <c r="P13" t="s">
        <v>160</v>
      </c>
      <c r="Q13" t="s">
        <v>10</v>
      </c>
      <c r="R13" t="s">
        <v>9</v>
      </c>
      <c r="S13" t="s">
        <v>8</v>
      </c>
      <c r="T13" t="s">
        <v>7</v>
      </c>
      <c r="U13" t="s">
        <v>3</v>
      </c>
      <c r="V13" t="s">
        <v>6</v>
      </c>
      <c r="W13">
        <v>2023</v>
      </c>
      <c r="Y13">
        <v>550.20416</v>
      </c>
      <c r="AA13" t="s">
        <v>225</v>
      </c>
      <c r="AB13" t="s">
        <v>224</v>
      </c>
      <c r="AC13">
        <v>2023</v>
      </c>
      <c r="AE13" t="s">
        <v>3</v>
      </c>
      <c r="AF13" t="s">
        <v>2</v>
      </c>
      <c r="AG13">
        <v>0</v>
      </c>
      <c r="AH13" t="s">
        <v>1</v>
      </c>
      <c r="AI13">
        <v>2</v>
      </c>
      <c r="AJ13" t="s">
        <v>0</v>
      </c>
    </row>
    <row r="14" spans="1:36" hidden="1" x14ac:dyDescent="0.2">
      <c r="A14" t="s">
        <v>23</v>
      </c>
      <c r="B14" t="s">
        <v>22</v>
      </c>
      <c r="C14" t="s">
        <v>21</v>
      </c>
      <c r="D14" t="s">
        <v>20</v>
      </c>
      <c r="E14" t="s">
        <v>107</v>
      </c>
      <c r="F14" t="s">
        <v>106</v>
      </c>
      <c r="G14" t="s">
        <v>16</v>
      </c>
      <c r="H14" t="s">
        <v>17</v>
      </c>
      <c r="I14" t="s">
        <v>16</v>
      </c>
      <c r="J14" t="s">
        <v>15</v>
      </c>
      <c r="K14" t="s">
        <v>14</v>
      </c>
      <c r="L14" t="s">
        <v>13</v>
      </c>
      <c r="M14" t="s">
        <v>5</v>
      </c>
      <c r="N14" t="s">
        <v>4</v>
      </c>
      <c r="O14" t="s">
        <v>161</v>
      </c>
      <c r="P14" t="s">
        <v>160</v>
      </c>
      <c r="Q14" t="s">
        <v>10</v>
      </c>
      <c r="R14" t="s">
        <v>9</v>
      </c>
      <c r="S14" t="s">
        <v>8</v>
      </c>
      <c r="T14" t="s">
        <v>7</v>
      </c>
      <c r="U14" t="s">
        <v>3</v>
      </c>
      <c r="V14" t="s">
        <v>6</v>
      </c>
      <c r="W14">
        <v>2023</v>
      </c>
      <c r="Y14">
        <v>59.172173000000001</v>
      </c>
      <c r="AA14" t="s">
        <v>223</v>
      </c>
      <c r="AB14" t="s">
        <v>222</v>
      </c>
      <c r="AC14">
        <v>2023</v>
      </c>
      <c r="AE14" t="s">
        <v>3</v>
      </c>
      <c r="AF14" t="s">
        <v>2</v>
      </c>
      <c r="AG14">
        <v>0</v>
      </c>
      <c r="AH14" t="s">
        <v>1</v>
      </c>
      <c r="AI14">
        <v>2</v>
      </c>
      <c r="AJ14" t="s">
        <v>0</v>
      </c>
    </row>
    <row r="15" spans="1:36" hidden="1" x14ac:dyDescent="0.2">
      <c r="A15" t="s">
        <v>23</v>
      </c>
      <c r="B15" t="s">
        <v>22</v>
      </c>
      <c r="C15" t="s">
        <v>21</v>
      </c>
      <c r="D15" t="s">
        <v>20</v>
      </c>
      <c r="E15" t="s">
        <v>105</v>
      </c>
      <c r="F15" t="s">
        <v>104</v>
      </c>
      <c r="G15" t="s">
        <v>16</v>
      </c>
      <c r="H15" t="s">
        <v>17</v>
      </c>
      <c r="I15" t="s">
        <v>16</v>
      </c>
      <c r="J15" t="s">
        <v>15</v>
      </c>
      <c r="K15" t="s">
        <v>14</v>
      </c>
      <c r="L15" t="s">
        <v>13</v>
      </c>
      <c r="M15" t="s">
        <v>5</v>
      </c>
      <c r="N15" t="s">
        <v>4</v>
      </c>
      <c r="O15" t="s">
        <v>161</v>
      </c>
      <c r="P15" t="s">
        <v>160</v>
      </c>
      <c r="Q15" t="s">
        <v>10</v>
      </c>
      <c r="R15" t="s">
        <v>9</v>
      </c>
      <c r="S15" t="s">
        <v>8</v>
      </c>
      <c r="T15" t="s">
        <v>7</v>
      </c>
      <c r="U15" t="s">
        <v>3</v>
      </c>
      <c r="V15" t="s">
        <v>6</v>
      </c>
      <c r="W15">
        <v>2023</v>
      </c>
      <c r="Y15">
        <v>1155.3234</v>
      </c>
      <c r="AA15" t="s">
        <v>221</v>
      </c>
      <c r="AB15" t="s">
        <v>220</v>
      </c>
      <c r="AC15">
        <v>2023</v>
      </c>
      <c r="AE15" t="s">
        <v>3</v>
      </c>
      <c r="AF15" t="s">
        <v>2</v>
      </c>
      <c r="AG15">
        <v>0</v>
      </c>
      <c r="AH15" t="s">
        <v>1</v>
      </c>
      <c r="AI15">
        <v>2</v>
      </c>
      <c r="AJ15" t="s">
        <v>0</v>
      </c>
    </row>
    <row r="16" spans="1:36" hidden="1" x14ac:dyDescent="0.2">
      <c r="A16" t="s">
        <v>23</v>
      </c>
      <c r="B16" t="s">
        <v>22</v>
      </c>
      <c r="C16" t="s">
        <v>21</v>
      </c>
      <c r="D16" t="s">
        <v>20</v>
      </c>
      <c r="E16" t="s">
        <v>103</v>
      </c>
      <c r="F16" t="s">
        <v>102</v>
      </c>
      <c r="G16" t="s">
        <v>16</v>
      </c>
      <c r="H16" t="s">
        <v>17</v>
      </c>
      <c r="I16" t="s">
        <v>16</v>
      </c>
      <c r="J16" t="s">
        <v>15</v>
      </c>
      <c r="K16" t="s">
        <v>14</v>
      </c>
      <c r="L16" t="s">
        <v>13</v>
      </c>
      <c r="M16" t="s">
        <v>5</v>
      </c>
      <c r="N16" t="s">
        <v>4</v>
      </c>
      <c r="O16" t="s">
        <v>161</v>
      </c>
      <c r="P16" t="s">
        <v>160</v>
      </c>
      <c r="Q16" t="s">
        <v>10</v>
      </c>
      <c r="R16" t="s">
        <v>9</v>
      </c>
      <c r="S16" t="s">
        <v>8</v>
      </c>
      <c r="T16" t="s">
        <v>7</v>
      </c>
      <c r="U16" t="s">
        <v>3</v>
      </c>
      <c r="V16" t="s">
        <v>6</v>
      </c>
      <c r="W16">
        <v>2023</v>
      </c>
      <c r="Y16">
        <v>309.79822000000001</v>
      </c>
      <c r="AA16" t="s">
        <v>219</v>
      </c>
      <c r="AB16" t="s">
        <v>218</v>
      </c>
      <c r="AC16">
        <v>2023</v>
      </c>
      <c r="AE16" t="s">
        <v>3</v>
      </c>
      <c r="AF16" t="s">
        <v>2</v>
      </c>
      <c r="AG16">
        <v>0</v>
      </c>
      <c r="AH16" t="s">
        <v>1</v>
      </c>
      <c r="AI16">
        <v>2</v>
      </c>
      <c r="AJ16" t="s">
        <v>0</v>
      </c>
    </row>
    <row r="17" spans="1:36" hidden="1" x14ac:dyDescent="0.2">
      <c r="A17" t="s">
        <v>23</v>
      </c>
      <c r="B17" t="s">
        <v>22</v>
      </c>
      <c r="C17" t="s">
        <v>21</v>
      </c>
      <c r="D17" t="s">
        <v>20</v>
      </c>
      <c r="E17" t="s">
        <v>93</v>
      </c>
      <c r="F17" t="s">
        <v>92</v>
      </c>
      <c r="G17" t="s">
        <v>16</v>
      </c>
      <c r="H17" t="s">
        <v>17</v>
      </c>
      <c r="I17" t="s">
        <v>16</v>
      </c>
      <c r="J17" t="s">
        <v>15</v>
      </c>
      <c r="K17" t="s">
        <v>14</v>
      </c>
      <c r="L17" t="s">
        <v>13</v>
      </c>
      <c r="M17" t="s">
        <v>5</v>
      </c>
      <c r="N17" t="s">
        <v>4</v>
      </c>
      <c r="O17" t="s">
        <v>161</v>
      </c>
      <c r="P17" t="s">
        <v>160</v>
      </c>
      <c r="Q17" t="s">
        <v>10</v>
      </c>
      <c r="R17" t="s">
        <v>9</v>
      </c>
      <c r="S17" t="s">
        <v>8</v>
      </c>
      <c r="T17" t="s">
        <v>7</v>
      </c>
      <c r="U17" t="s">
        <v>3</v>
      </c>
      <c r="V17" t="s">
        <v>6</v>
      </c>
      <c r="W17">
        <v>2023</v>
      </c>
      <c r="Y17">
        <v>1036.1460999999999</v>
      </c>
      <c r="AA17" t="s">
        <v>217</v>
      </c>
      <c r="AB17" t="s">
        <v>216</v>
      </c>
      <c r="AC17">
        <v>2023</v>
      </c>
      <c r="AE17" t="s">
        <v>3</v>
      </c>
      <c r="AF17" t="s">
        <v>2</v>
      </c>
      <c r="AG17">
        <v>0</v>
      </c>
      <c r="AH17" t="s">
        <v>1</v>
      </c>
      <c r="AI17">
        <v>2</v>
      </c>
      <c r="AJ17" t="s">
        <v>0</v>
      </c>
    </row>
    <row r="18" spans="1:36" hidden="1" x14ac:dyDescent="0.2">
      <c r="A18" t="s">
        <v>23</v>
      </c>
      <c r="B18" t="s">
        <v>22</v>
      </c>
      <c r="C18" t="s">
        <v>21</v>
      </c>
      <c r="D18" t="s">
        <v>20</v>
      </c>
      <c r="E18" t="s">
        <v>91</v>
      </c>
      <c r="F18" t="s">
        <v>90</v>
      </c>
      <c r="G18" t="s">
        <v>16</v>
      </c>
      <c r="H18" t="s">
        <v>17</v>
      </c>
      <c r="I18" t="s">
        <v>16</v>
      </c>
      <c r="J18" t="s">
        <v>15</v>
      </c>
      <c r="K18" t="s">
        <v>14</v>
      </c>
      <c r="L18" t="s">
        <v>13</v>
      </c>
      <c r="M18" t="s">
        <v>5</v>
      </c>
      <c r="N18" t="s">
        <v>4</v>
      </c>
      <c r="O18" t="s">
        <v>161</v>
      </c>
      <c r="P18" t="s">
        <v>160</v>
      </c>
      <c r="Q18" t="s">
        <v>10</v>
      </c>
      <c r="R18" t="s">
        <v>9</v>
      </c>
      <c r="S18" t="s">
        <v>8</v>
      </c>
      <c r="T18" t="s">
        <v>7</v>
      </c>
      <c r="U18" t="s">
        <v>3</v>
      </c>
      <c r="V18" t="s">
        <v>6</v>
      </c>
      <c r="W18">
        <v>2023</v>
      </c>
      <c r="Y18">
        <v>164.02306999999999</v>
      </c>
      <c r="AA18" t="s">
        <v>215</v>
      </c>
      <c r="AB18" t="s">
        <v>214</v>
      </c>
      <c r="AC18">
        <v>2023</v>
      </c>
      <c r="AE18" t="s">
        <v>3</v>
      </c>
      <c r="AF18" t="s">
        <v>2</v>
      </c>
      <c r="AG18">
        <v>0</v>
      </c>
      <c r="AH18" t="s">
        <v>1</v>
      </c>
      <c r="AI18">
        <v>2</v>
      </c>
      <c r="AJ18" t="s">
        <v>0</v>
      </c>
    </row>
    <row r="19" spans="1:36" hidden="1" x14ac:dyDescent="0.2">
      <c r="A19" t="s">
        <v>23</v>
      </c>
      <c r="B19" t="s">
        <v>22</v>
      </c>
      <c r="C19" t="s">
        <v>21</v>
      </c>
      <c r="D19" t="s">
        <v>20</v>
      </c>
      <c r="E19" t="s">
        <v>89</v>
      </c>
      <c r="F19" t="s">
        <v>285</v>
      </c>
      <c r="G19" t="s">
        <v>16</v>
      </c>
      <c r="H19" t="s">
        <v>17</v>
      </c>
      <c r="I19" t="s">
        <v>16</v>
      </c>
      <c r="J19" t="s">
        <v>15</v>
      </c>
      <c r="K19" t="s">
        <v>14</v>
      </c>
      <c r="L19" t="s">
        <v>13</v>
      </c>
      <c r="M19" t="s">
        <v>5</v>
      </c>
      <c r="N19" t="s">
        <v>4</v>
      </c>
      <c r="O19" t="s">
        <v>161</v>
      </c>
      <c r="P19" t="s">
        <v>160</v>
      </c>
      <c r="Q19" t="s">
        <v>10</v>
      </c>
      <c r="R19" t="s">
        <v>9</v>
      </c>
      <c r="S19" t="s">
        <v>8</v>
      </c>
      <c r="T19" t="s">
        <v>7</v>
      </c>
      <c r="U19" t="s">
        <v>3</v>
      </c>
      <c r="V19" t="s">
        <v>6</v>
      </c>
      <c r="W19">
        <v>2023</v>
      </c>
      <c r="Y19">
        <v>167.66681</v>
      </c>
      <c r="AA19" t="s">
        <v>213</v>
      </c>
      <c r="AB19" t="s">
        <v>212</v>
      </c>
      <c r="AC19">
        <v>2023</v>
      </c>
      <c r="AE19" t="s">
        <v>3</v>
      </c>
      <c r="AF19" t="s">
        <v>2</v>
      </c>
      <c r="AG19">
        <v>0</v>
      </c>
      <c r="AH19" t="s">
        <v>1</v>
      </c>
      <c r="AI19">
        <v>2</v>
      </c>
      <c r="AJ19" t="s">
        <v>0</v>
      </c>
    </row>
    <row r="20" spans="1:36" hidden="1" x14ac:dyDescent="0.2">
      <c r="A20" t="s">
        <v>23</v>
      </c>
      <c r="B20" t="s">
        <v>22</v>
      </c>
      <c r="C20" t="s">
        <v>21</v>
      </c>
      <c r="D20" t="s">
        <v>20</v>
      </c>
      <c r="E20" t="s">
        <v>88</v>
      </c>
      <c r="F20" t="s">
        <v>87</v>
      </c>
      <c r="G20" t="s">
        <v>16</v>
      </c>
      <c r="H20" t="s">
        <v>17</v>
      </c>
      <c r="I20" t="s">
        <v>16</v>
      </c>
      <c r="J20" t="s">
        <v>15</v>
      </c>
      <c r="K20" t="s">
        <v>14</v>
      </c>
      <c r="L20" t="s">
        <v>13</v>
      </c>
      <c r="M20" t="s">
        <v>5</v>
      </c>
      <c r="N20" t="s">
        <v>4</v>
      </c>
      <c r="O20" t="s">
        <v>161</v>
      </c>
      <c r="P20" t="s">
        <v>160</v>
      </c>
      <c r="Q20" t="s">
        <v>10</v>
      </c>
      <c r="R20" t="s">
        <v>9</v>
      </c>
      <c r="S20" t="s">
        <v>8</v>
      </c>
      <c r="T20" t="s">
        <v>7</v>
      </c>
      <c r="U20" t="s">
        <v>3</v>
      </c>
      <c r="V20" t="s">
        <v>6</v>
      </c>
      <c r="W20">
        <v>2023</v>
      </c>
      <c r="Y20">
        <v>30.608502999999999</v>
      </c>
      <c r="AA20" t="s">
        <v>211</v>
      </c>
      <c r="AB20" t="s">
        <v>210</v>
      </c>
      <c r="AC20">
        <v>2023</v>
      </c>
      <c r="AE20" t="s">
        <v>3</v>
      </c>
      <c r="AF20" t="s">
        <v>2</v>
      </c>
      <c r="AG20">
        <v>0</v>
      </c>
      <c r="AH20" t="s">
        <v>1</v>
      </c>
      <c r="AI20">
        <v>2</v>
      </c>
      <c r="AJ20" t="s">
        <v>0</v>
      </c>
    </row>
    <row r="21" spans="1:36" hidden="1" x14ac:dyDescent="0.2">
      <c r="A21" t="s">
        <v>23</v>
      </c>
      <c r="B21" t="s">
        <v>22</v>
      </c>
      <c r="C21" t="s">
        <v>21</v>
      </c>
      <c r="D21" t="s">
        <v>20</v>
      </c>
      <c r="E21" t="s">
        <v>80</v>
      </c>
      <c r="F21" t="s">
        <v>79</v>
      </c>
      <c r="G21" t="s">
        <v>16</v>
      </c>
      <c r="H21" t="s">
        <v>17</v>
      </c>
      <c r="I21" t="s">
        <v>16</v>
      </c>
      <c r="J21" t="s">
        <v>15</v>
      </c>
      <c r="K21" t="s">
        <v>14</v>
      </c>
      <c r="L21" t="s">
        <v>13</v>
      </c>
      <c r="M21" t="s">
        <v>5</v>
      </c>
      <c r="N21" t="s">
        <v>4</v>
      </c>
      <c r="O21" t="s">
        <v>161</v>
      </c>
      <c r="P21" t="s">
        <v>160</v>
      </c>
      <c r="Q21" t="s">
        <v>10</v>
      </c>
      <c r="R21" t="s">
        <v>9</v>
      </c>
      <c r="S21" t="s">
        <v>8</v>
      </c>
      <c r="T21" t="s">
        <v>7</v>
      </c>
      <c r="U21" t="s">
        <v>3</v>
      </c>
      <c r="V21" t="s">
        <v>6</v>
      </c>
      <c r="W21">
        <v>2023</v>
      </c>
      <c r="Y21">
        <v>2924.3422999999998</v>
      </c>
      <c r="AA21" t="s">
        <v>209</v>
      </c>
      <c r="AB21" t="s">
        <v>208</v>
      </c>
      <c r="AC21">
        <v>2023</v>
      </c>
      <c r="AE21" t="s">
        <v>3</v>
      </c>
      <c r="AF21" t="s">
        <v>2</v>
      </c>
      <c r="AG21">
        <v>0</v>
      </c>
      <c r="AH21" t="s">
        <v>1</v>
      </c>
      <c r="AI21">
        <v>2</v>
      </c>
      <c r="AJ21" t="s">
        <v>0</v>
      </c>
    </row>
    <row r="22" spans="1:36" hidden="1" x14ac:dyDescent="0.2">
      <c r="A22" t="s">
        <v>23</v>
      </c>
      <c r="B22" t="s">
        <v>22</v>
      </c>
      <c r="C22" t="s">
        <v>21</v>
      </c>
      <c r="D22" t="s">
        <v>20</v>
      </c>
      <c r="E22" t="s">
        <v>78</v>
      </c>
      <c r="F22" t="s">
        <v>77</v>
      </c>
      <c r="G22" t="s">
        <v>16</v>
      </c>
      <c r="H22" t="s">
        <v>17</v>
      </c>
      <c r="I22" t="s">
        <v>16</v>
      </c>
      <c r="J22" t="s">
        <v>15</v>
      </c>
      <c r="K22" t="s">
        <v>14</v>
      </c>
      <c r="L22" t="s">
        <v>13</v>
      </c>
      <c r="M22" t="s">
        <v>5</v>
      </c>
      <c r="N22" t="s">
        <v>4</v>
      </c>
      <c r="O22" t="s">
        <v>161</v>
      </c>
      <c r="P22" t="s">
        <v>160</v>
      </c>
      <c r="Q22" t="s">
        <v>10</v>
      </c>
      <c r="R22" t="s">
        <v>9</v>
      </c>
      <c r="S22" t="s">
        <v>8</v>
      </c>
      <c r="T22" t="s">
        <v>7</v>
      </c>
      <c r="U22" t="s">
        <v>3</v>
      </c>
      <c r="V22" t="s">
        <v>6</v>
      </c>
      <c r="W22">
        <v>2023</v>
      </c>
      <c r="Y22">
        <v>2.3751867</v>
      </c>
      <c r="AA22" t="s">
        <v>207</v>
      </c>
      <c r="AB22" t="s">
        <v>206</v>
      </c>
      <c r="AC22">
        <v>2023</v>
      </c>
      <c r="AE22" t="s">
        <v>3</v>
      </c>
      <c r="AF22" t="s">
        <v>2</v>
      </c>
      <c r="AG22">
        <v>0</v>
      </c>
      <c r="AH22" t="s">
        <v>1</v>
      </c>
      <c r="AI22">
        <v>2</v>
      </c>
      <c r="AJ22" t="s">
        <v>0</v>
      </c>
    </row>
    <row r="23" spans="1:36" hidden="1" x14ac:dyDescent="0.2">
      <c r="A23" t="s">
        <v>23</v>
      </c>
      <c r="B23" t="s">
        <v>22</v>
      </c>
      <c r="C23" t="s">
        <v>21</v>
      </c>
      <c r="D23" t="s">
        <v>20</v>
      </c>
      <c r="E23" t="s">
        <v>76</v>
      </c>
      <c r="F23" t="s">
        <v>75</v>
      </c>
      <c r="G23" t="s">
        <v>16</v>
      </c>
      <c r="H23" t="s">
        <v>17</v>
      </c>
      <c r="I23" t="s">
        <v>16</v>
      </c>
      <c r="J23" t="s">
        <v>15</v>
      </c>
      <c r="K23" t="s">
        <v>14</v>
      </c>
      <c r="L23" t="s">
        <v>13</v>
      </c>
      <c r="M23" t="s">
        <v>5</v>
      </c>
      <c r="N23" t="s">
        <v>4</v>
      </c>
      <c r="O23" t="s">
        <v>161</v>
      </c>
      <c r="P23" t="s">
        <v>160</v>
      </c>
      <c r="Q23" t="s">
        <v>10</v>
      </c>
      <c r="R23" t="s">
        <v>9</v>
      </c>
      <c r="S23" t="s">
        <v>8</v>
      </c>
      <c r="T23" t="s">
        <v>7</v>
      </c>
      <c r="U23" t="s">
        <v>3</v>
      </c>
      <c r="V23" t="s">
        <v>6</v>
      </c>
      <c r="W23">
        <v>2023</v>
      </c>
      <c r="Y23">
        <v>118.35518</v>
      </c>
      <c r="AA23" t="s">
        <v>205</v>
      </c>
      <c r="AB23" t="s">
        <v>204</v>
      </c>
      <c r="AC23">
        <v>2023</v>
      </c>
      <c r="AE23" t="s">
        <v>3</v>
      </c>
      <c r="AF23" t="s">
        <v>2</v>
      </c>
      <c r="AG23">
        <v>0</v>
      </c>
      <c r="AH23" t="s">
        <v>1</v>
      </c>
      <c r="AI23">
        <v>2</v>
      </c>
      <c r="AJ23" t="s">
        <v>0</v>
      </c>
    </row>
    <row r="24" spans="1:36" hidden="1" x14ac:dyDescent="0.2">
      <c r="A24" t="s">
        <v>23</v>
      </c>
      <c r="B24" t="s">
        <v>22</v>
      </c>
      <c r="C24" t="s">
        <v>21</v>
      </c>
      <c r="D24" t="s">
        <v>20</v>
      </c>
      <c r="E24" t="s">
        <v>74</v>
      </c>
      <c r="F24" t="s">
        <v>284</v>
      </c>
      <c r="G24" t="s">
        <v>16</v>
      </c>
      <c r="H24" t="s">
        <v>17</v>
      </c>
      <c r="I24" t="s">
        <v>16</v>
      </c>
      <c r="J24" t="s">
        <v>15</v>
      </c>
      <c r="K24" t="s">
        <v>14</v>
      </c>
      <c r="L24" t="s">
        <v>13</v>
      </c>
      <c r="M24" t="s">
        <v>5</v>
      </c>
      <c r="N24" t="s">
        <v>4</v>
      </c>
      <c r="O24" t="s">
        <v>161</v>
      </c>
      <c r="P24" t="s">
        <v>160</v>
      </c>
      <c r="Q24" t="s">
        <v>10</v>
      </c>
      <c r="R24" t="s">
        <v>9</v>
      </c>
      <c r="S24" t="s">
        <v>8</v>
      </c>
      <c r="T24" t="s">
        <v>7</v>
      </c>
      <c r="U24" t="s">
        <v>3</v>
      </c>
      <c r="V24" t="s">
        <v>6</v>
      </c>
      <c r="W24">
        <v>2023</v>
      </c>
      <c r="Y24">
        <v>66.113158999999996</v>
      </c>
      <c r="AA24" t="s">
        <v>203</v>
      </c>
      <c r="AB24" t="s">
        <v>202</v>
      </c>
      <c r="AC24">
        <v>2023</v>
      </c>
      <c r="AE24" t="s">
        <v>3</v>
      </c>
      <c r="AF24" t="s">
        <v>2</v>
      </c>
      <c r="AG24">
        <v>0</v>
      </c>
      <c r="AH24" t="s">
        <v>1</v>
      </c>
      <c r="AI24">
        <v>2</v>
      </c>
      <c r="AJ24" t="s">
        <v>0</v>
      </c>
    </row>
    <row r="25" spans="1:36" hidden="1" x14ac:dyDescent="0.2">
      <c r="A25" t="s">
        <v>23</v>
      </c>
      <c r="B25" t="s">
        <v>22</v>
      </c>
      <c r="C25" t="s">
        <v>21</v>
      </c>
      <c r="D25" t="s">
        <v>20</v>
      </c>
      <c r="E25" t="s">
        <v>69</v>
      </c>
      <c r="F25" t="s">
        <v>68</v>
      </c>
      <c r="G25" t="s">
        <v>16</v>
      </c>
      <c r="H25" t="s">
        <v>17</v>
      </c>
      <c r="I25" t="s">
        <v>16</v>
      </c>
      <c r="J25" t="s">
        <v>15</v>
      </c>
      <c r="K25" t="s">
        <v>14</v>
      </c>
      <c r="L25" t="s">
        <v>13</v>
      </c>
      <c r="M25" t="s">
        <v>5</v>
      </c>
      <c r="N25" t="s">
        <v>4</v>
      </c>
      <c r="O25" t="s">
        <v>161</v>
      </c>
      <c r="P25" t="s">
        <v>160</v>
      </c>
      <c r="Q25" t="s">
        <v>10</v>
      </c>
      <c r="R25" t="s">
        <v>9</v>
      </c>
      <c r="S25" t="s">
        <v>8</v>
      </c>
      <c r="T25" t="s">
        <v>7</v>
      </c>
      <c r="U25" t="s">
        <v>3</v>
      </c>
      <c r="V25" t="s">
        <v>6</v>
      </c>
      <c r="W25">
        <v>2023</v>
      </c>
      <c r="Y25">
        <v>910.79578000000004</v>
      </c>
      <c r="AA25" t="s">
        <v>201</v>
      </c>
      <c r="AB25" t="s">
        <v>200</v>
      </c>
      <c r="AC25">
        <v>2023</v>
      </c>
      <c r="AE25" t="s">
        <v>3</v>
      </c>
      <c r="AF25" t="s">
        <v>2</v>
      </c>
      <c r="AG25">
        <v>0</v>
      </c>
      <c r="AH25" t="s">
        <v>1</v>
      </c>
      <c r="AI25">
        <v>2</v>
      </c>
      <c r="AJ25" t="s">
        <v>0</v>
      </c>
    </row>
    <row r="26" spans="1:36" hidden="1" x14ac:dyDescent="0.2">
      <c r="A26" t="s">
        <v>23</v>
      </c>
      <c r="B26" t="s">
        <v>22</v>
      </c>
      <c r="C26" t="s">
        <v>21</v>
      </c>
      <c r="D26" t="s">
        <v>20</v>
      </c>
      <c r="E26" t="s">
        <v>67</v>
      </c>
      <c r="F26" t="s">
        <v>66</v>
      </c>
      <c r="G26" t="s">
        <v>16</v>
      </c>
      <c r="H26" t="s">
        <v>17</v>
      </c>
      <c r="I26" t="s">
        <v>16</v>
      </c>
      <c r="J26" t="s">
        <v>15</v>
      </c>
      <c r="K26" t="s">
        <v>14</v>
      </c>
      <c r="L26" t="s">
        <v>13</v>
      </c>
      <c r="M26" t="s">
        <v>5</v>
      </c>
      <c r="N26" t="s">
        <v>4</v>
      </c>
      <c r="O26" t="s">
        <v>161</v>
      </c>
      <c r="P26" t="s">
        <v>160</v>
      </c>
      <c r="Q26" t="s">
        <v>10</v>
      </c>
      <c r="R26" t="s">
        <v>9</v>
      </c>
      <c r="S26" t="s">
        <v>8</v>
      </c>
      <c r="T26" t="s">
        <v>7</v>
      </c>
      <c r="U26" t="s">
        <v>3</v>
      </c>
      <c r="V26" t="s">
        <v>6</v>
      </c>
      <c r="W26">
        <v>2023</v>
      </c>
      <c r="Y26">
        <v>222.37347</v>
      </c>
      <c r="AA26" t="s">
        <v>199</v>
      </c>
      <c r="AB26" t="s">
        <v>198</v>
      </c>
      <c r="AC26">
        <v>2023</v>
      </c>
      <c r="AE26" t="s">
        <v>3</v>
      </c>
      <c r="AF26" t="s">
        <v>2</v>
      </c>
      <c r="AG26">
        <v>0</v>
      </c>
      <c r="AH26" t="s">
        <v>1</v>
      </c>
      <c r="AI26">
        <v>2</v>
      </c>
      <c r="AJ26" t="s">
        <v>0</v>
      </c>
    </row>
    <row r="27" spans="1:36" hidden="1" x14ac:dyDescent="0.2">
      <c r="A27" t="s">
        <v>23</v>
      </c>
      <c r="B27" t="s">
        <v>22</v>
      </c>
      <c r="C27" t="s">
        <v>21</v>
      </c>
      <c r="D27" t="s">
        <v>20</v>
      </c>
      <c r="E27" t="s">
        <v>65</v>
      </c>
      <c r="F27" t="s">
        <v>64</v>
      </c>
      <c r="G27" t="s">
        <v>16</v>
      </c>
      <c r="H27" t="s">
        <v>17</v>
      </c>
      <c r="I27" t="s">
        <v>16</v>
      </c>
      <c r="J27" t="s">
        <v>15</v>
      </c>
      <c r="K27" t="s">
        <v>14</v>
      </c>
      <c r="L27" t="s">
        <v>13</v>
      </c>
      <c r="M27" t="s">
        <v>5</v>
      </c>
      <c r="N27" t="s">
        <v>4</v>
      </c>
      <c r="O27" t="s">
        <v>161</v>
      </c>
      <c r="P27" t="s">
        <v>160</v>
      </c>
      <c r="Q27" t="s">
        <v>10</v>
      </c>
      <c r="R27" t="s">
        <v>9</v>
      </c>
      <c r="S27" t="s">
        <v>8</v>
      </c>
      <c r="T27" t="s">
        <v>7</v>
      </c>
      <c r="U27" t="s">
        <v>3</v>
      </c>
      <c r="V27" t="s">
        <v>6</v>
      </c>
      <c r="W27">
        <v>2023</v>
      </c>
      <c r="Y27">
        <v>97.051331000000005</v>
      </c>
      <c r="AA27" t="s">
        <v>197</v>
      </c>
      <c r="AB27" t="s">
        <v>196</v>
      </c>
      <c r="AC27">
        <v>2023</v>
      </c>
      <c r="AE27" t="s">
        <v>3</v>
      </c>
      <c r="AF27" t="s">
        <v>2</v>
      </c>
      <c r="AG27">
        <v>0</v>
      </c>
      <c r="AH27" t="s">
        <v>1</v>
      </c>
      <c r="AI27">
        <v>2</v>
      </c>
      <c r="AJ27" t="s">
        <v>0</v>
      </c>
    </row>
    <row r="28" spans="1:36" hidden="1" x14ac:dyDescent="0.2">
      <c r="A28" t="s">
        <v>23</v>
      </c>
      <c r="B28" t="s">
        <v>22</v>
      </c>
      <c r="C28" t="s">
        <v>21</v>
      </c>
      <c r="D28" t="s">
        <v>20</v>
      </c>
      <c r="E28" t="s">
        <v>63</v>
      </c>
      <c r="F28" t="s">
        <v>62</v>
      </c>
      <c r="G28" t="s">
        <v>16</v>
      </c>
      <c r="H28" t="s">
        <v>17</v>
      </c>
      <c r="I28" t="s">
        <v>16</v>
      </c>
      <c r="J28" t="s">
        <v>15</v>
      </c>
      <c r="K28" t="s">
        <v>14</v>
      </c>
      <c r="L28" t="s">
        <v>13</v>
      </c>
      <c r="M28" t="s">
        <v>5</v>
      </c>
      <c r="N28" t="s">
        <v>4</v>
      </c>
      <c r="O28" t="s">
        <v>161</v>
      </c>
      <c r="P28" t="s">
        <v>160</v>
      </c>
      <c r="Q28" t="s">
        <v>10</v>
      </c>
      <c r="R28" t="s">
        <v>9</v>
      </c>
      <c r="S28" t="s">
        <v>8</v>
      </c>
      <c r="T28" t="s">
        <v>7</v>
      </c>
      <c r="U28" t="s">
        <v>3</v>
      </c>
      <c r="V28" t="s">
        <v>6</v>
      </c>
      <c r="W28">
        <v>2023</v>
      </c>
      <c r="Y28">
        <v>722.89484000000004</v>
      </c>
      <c r="AA28" t="s">
        <v>195</v>
      </c>
      <c r="AB28" t="s">
        <v>194</v>
      </c>
      <c r="AC28">
        <v>2023</v>
      </c>
      <c r="AE28" t="s">
        <v>3</v>
      </c>
      <c r="AF28" t="s">
        <v>2</v>
      </c>
      <c r="AG28">
        <v>0</v>
      </c>
      <c r="AH28" t="s">
        <v>1</v>
      </c>
      <c r="AI28">
        <v>2</v>
      </c>
      <c r="AJ28" t="s">
        <v>0</v>
      </c>
    </row>
    <row r="29" spans="1:36" hidden="1" x14ac:dyDescent="0.2">
      <c r="A29" t="s">
        <v>23</v>
      </c>
      <c r="B29" t="s">
        <v>22</v>
      </c>
      <c r="C29" t="s">
        <v>21</v>
      </c>
      <c r="D29" t="s">
        <v>20</v>
      </c>
      <c r="E29" t="s">
        <v>61</v>
      </c>
      <c r="F29" t="s">
        <v>60</v>
      </c>
      <c r="G29" t="s">
        <v>16</v>
      </c>
      <c r="H29" t="s">
        <v>17</v>
      </c>
      <c r="I29" t="s">
        <v>16</v>
      </c>
      <c r="J29" t="s">
        <v>15</v>
      </c>
      <c r="K29" t="s">
        <v>14</v>
      </c>
      <c r="L29" t="s">
        <v>13</v>
      </c>
      <c r="M29" t="s">
        <v>5</v>
      </c>
      <c r="N29" t="s">
        <v>4</v>
      </c>
      <c r="O29" t="s">
        <v>161</v>
      </c>
      <c r="P29" t="s">
        <v>160</v>
      </c>
      <c r="Q29" t="s">
        <v>10</v>
      </c>
      <c r="R29" t="s">
        <v>9</v>
      </c>
      <c r="S29" t="s">
        <v>8</v>
      </c>
      <c r="T29" t="s">
        <v>7</v>
      </c>
      <c r="U29" t="s">
        <v>3</v>
      </c>
      <c r="V29" t="s">
        <v>6</v>
      </c>
      <c r="W29">
        <v>2023</v>
      </c>
      <c r="Y29">
        <v>5452.8311000000003</v>
      </c>
      <c r="AA29" t="s">
        <v>193</v>
      </c>
      <c r="AB29" t="s">
        <v>192</v>
      </c>
      <c r="AC29">
        <v>2023</v>
      </c>
      <c r="AE29" t="s">
        <v>3</v>
      </c>
      <c r="AF29" t="s">
        <v>2</v>
      </c>
      <c r="AG29">
        <v>0</v>
      </c>
      <c r="AH29" t="s">
        <v>1</v>
      </c>
      <c r="AI29">
        <v>2</v>
      </c>
      <c r="AJ29" t="s">
        <v>0</v>
      </c>
    </row>
    <row r="30" spans="1:36" hidden="1" x14ac:dyDescent="0.2">
      <c r="A30" t="s">
        <v>23</v>
      </c>
      <c r="B30" t="s">
        <v>22</v>
      </c>
      <c r="C30" t="s">
        <v>21</v>
      </c>
      <c r="D30" t="s">
        <v>20</v>
      </c>
      <c r="E30" t="s">
        <v>59</v>
      </c>
      <c r="F30" t="s">
        <v>58</v>
      </c>
      <c r="G30" t="s">
        <v>16</v>
      </c>
      <c r="H30" t="s">
        <v>17</v>
      </c>
      <c r="I30" t="s">
        <v>16</v>
      </c>
      <c r="J30" t="s">
        <v>15</v>
      </c>
      <c r="K30" t="s">
        <v>14</v>
      </c>
      <c r="L30" t="s">
        <v>13</v>
      </c>
      <c r="M30" t="s">
        <v>5</v>
      </c>
      <c r="N30" t="s">
        <v>4</v>
      </c>
      <c r="O30" t="s">
        <v>161</v>
      </c>
      <c r="P30" t="s">
        <v>160</v>
      </c>
      <c r="Q30" t="s">
        <v>10</v>
      </c>
      <c r="R30" t="s">
        <v>9</v>
      </c>
      <c r="S30" t="s">
        <v>8</v>
      </c>
      <c r="T30" t="s">
        <v>7</v>
      </c>
      <c r="U30" t="s">
        <v>3</v>
      </c>
      <c r="V30" t="s">
        <v>6</v>
      </c>
      <c r="W30">
        <v>2023</v>
      </c>
      <c r="Y30">
        <v>2103.8285999999998</v>
      </c>
      <c r="AA30" t="s">
        <v>191</v>
      </c>
      <c r="AB30" t="s">
        <v>190</v>
      </c>
      <c r="AC30">
        <v>2023</v>
      </c>
      <c r="AE30" t="s">
        <v>3</v>
      </c>
      <c r="AF30" t="s">
        <v>2</v>
      </c>
      <c r="AG30">
        <v>0</v>
      </c>
      <c r="AH30" t="s">
        <v>1</v>
      </c>
      <c r="AI30">
        <v>2</v>
      </c>
      <c r="AJ30" t="s">
        <v>0</v>
      </c>
    </row>
    <row r="31" spans="1:36" hidden="1" x14ac:dyDescent="0.2">
      <c r="A31" t="s">
        <v>23</v>
      </c>
      <c r="B31" t="s">
        <v>22</v>
      </c>
      <c r="C31" t="s">
        <v>21</v>
      </c>
      <c r="D31" t="s">
        <v>20</v>
      </c>
      <c r="E31" t="s">
        <v>57</v>
      </c>
      <c r="F31" t="s">
        <v>56</v>
      </c>
      <c r="G31" t="s">
        <v>16</v>
      </c>
      <c r="H31" t="s">
        <v>17</v>
      </c>
      <c r="I31" t="s">
        <v>16</v>
      </c>
      <c r="J31" t="s">
        <v>15</v>
      </c>
      <c r="K31" t="s">
        <v>14</v>
      </c>
      <c r="L31" t="s">
        <v>13</v>
      </c>
      <c r="M31" t="s">
        <v>5</v>
      </c>
      <c r="N31" t="s">
        <v>4</v>
      </c>
      <c r="O31" t="s">
        <v>161</v>
      </c>
      <c r="P31" t="s">
        <v>160</v>
      </c>
      <c r="Q31" t="s">
        <v>10</v>
      </c>
      <c r="R31" t="s">
        <v>9</v>
      </c>
      <c r="S31" t="s">
        <v>8</v>
      </c>
      <c r="T31" t="s">
        <v>7</v>
      </c>
      <c r="U31" t="s">
        <v>3</v>
      </c>
      <c r="V31" t="s">
        <v>6</v>
      </c>
      <c r="W31">
        <v>2023</v>
      </c>
      <c r="Y31">
        <v>407.42730999999998</v>
      </c>
      <c r="AA31" t="s">
        <v>189</v>
      </c>
      <c r="AB31" t="s">
        <v>188</v>
      </c>
      <c r="AC31">
        <v>2023</v>
      </c>
      <c r="AE31" t="s">
        <v>3</v>
      </c>
      <c r="AF31" t="s">
        <v>2</v>
      </c>
      <c r="AG31">
        <v>0</v>
      </c>
      <c r="AH31" t="s">
        <v>1</v>
      </c>
      <c r="AI31">
        <v>2</v>
      </c>
      <c r="AJ31" t="s">
        <v>0</v>
      </c>
    </row>
    <row r="32" spans="1:36" hidden="1" x14ac:dyDescent="0.2">
      <c r="A32" t="s">
        <v>23</v>
      </c>
      <c r="B32" t="s">
        <v>22</v>
      </c>
      <c r="C32" t="s">
        <v>21</v>
      </c>
      <c r="D32" t="s">
        <v>20</v>
      </c>
      <c r="E32" t="s">
        <v>53</v>
      </c>
      <c r="F32" t="s">
        <v>52</v>
      </c>
      <c r="G32" t="s">
        <v>16</v>
      </c>
      <c r="H32" t="s">
        <v>17</v>
      </c>
      <c r="I32" t="s">
        <v>16</v>
      </c>
      <c r="J32" t="s">
        <v>15</v>
      </c>
      <c r="K32" t="s">
        <v>14</v>
      </c>
      <c r="L32" t="s">
        <v>13</v>
      </c>
      <c r="M32" t="s">
        <v>5</v>
      </c>
      <c r="N32" t="s">
        <v>4</v>
      </c>
      <c r="O32" t="s">
        <v>161</v>
      </c>
      <c r="P32" t="s">
        <v>160</v>
      </c>
      <c r="Q32" t="s">
        <v>10</v>
      </c>
      <c r="R32" t="s">
        <v>9</v>
      </c>
      <c r="S32" t="s">
        <v>8</v>
      </c>
      <c r="T32" t="s">
        <v>7</v>
      </c>
      <c r="U32" t="s">
        <v>3</v>
      </c>
      <c r="V32" t="s">
        <v>6</v>
      </c>
      <c r="W32">
        <v>2023</v>
      </c>
      <c r="Y32">
        <v>854.75023999999996</v>
      </c>
      <c r="AA32" t="s">
        <v>187</v>
      </c>
      <c r="AB32" t="s">
        <v>186</v>
      </c>
      <c r="AC32">
        <v>2023</v>
      </c>
      <c r="AE32" t="s">
        <v>3</v>
      </c>
      <c r="AF32" t="s">
        <v>2</v>
      </c>
      <c r="AG32">
        <v>0</v>
      </c>
      <c r="AH32" t="s">
        <v>1</v>
      </c>
      <c r="AI32">
        <v>2</v>
      </c>
      <c r="AJ32" t="s">
        <v>0</v>
      </c>
    </row>
    <row r="33" spans="1:36" hidden="1" x14ac:dyDescent="0.2">
      <c r="A33" t="s">
        <v>23</v>
      </c>
      <c r="B33" t="s">
        <v>22</v>
      </c>
      <c r="C33" t="s">
        <v>21</v>
      </c>
      <c r="D33" t="s">
        <v>20</v>
      </c>
      <c r="E33" t="s">
        <v>51</v>
      </c>
      <c r="F33" t="s">
        <v>50</v>
      </c>
      <c r="G33" t="s">
        <v>16</v>
      </c>
      <c r="H33" t="s">
        <v>17</v>
      </c>
      <c r="I33" t="s">
        <v>16</v>
      </c>
      <c r="J33" t="s">
        <v>15</v>
      </c>
      <c r="K33" t="s">
        <v>14</v>
      </c>
      <c r="L33" t="s">
        <v>13</v>
      </c>
      <c r="M33" t="s">
        <v>5</v>
      </c>
      <c r="N33" t="s">
        <v>4</v>
      </c>
      <c r="O33" t="s">
        <v>161</v>
      </c>
      <c r="P33" t="s">
        <v>160</v>
      </c>
      <c r="Q33" t="s">
        <v>10</v>
      </c>
      <c r="R33" t="s">
        <v>9</v>
      </c>
      <c r="S33" t="s">
        <v>8</v>
      </c>
      <c r="T33" t="s">
        <v>7</v>
      </c>
      <c r="U33" t="s">
        <v>3</v>
      </c>
      <c r="V33" t="s">
        <v>6</v>
      </c>
      <c r="W33">
        <v>2023</v>
      </c>
      <c r="Y33">
        <v>7.4783115000000002</v>
      </c>
      <c r="AA33" t="s">
        <v>185</v>
      </c>
      <c r="AB33" t="s">
        <v>184</v>
      </c>
      <c r="AC33">
        <v>2023</v>
      </c>
      <c r="AE33" t="s">
        <v>3</v>
      </c>
      <c r="AF33" t="s">
        <v>2</v>
      </c>
      <c r="AG33">
        <v>0</v>
      </c>
      <c r="AH33" t="s">
        <v>1</v>
      </c>
      <c r="AI33">
        <v>2</v>
      </c>
      <c r="AJ33" t="s">
        <v>0</v>
      </c>
    </row>
    <row r="34" spans="1:36" hidden="1" x14ac:dyDescent="0.2">
      <c r="A34" t="s">
        <v>23</v>
      </c>
      <c r="B34" t="s">
        <v>22</v>
      </c>
      <c r="C34" t="s">
        <v>21</v>
      </c>
      <c r="D34" t="s">
        <v>20</v>
      </c>
      <c r="E34" t="s">
        <v>49</v>
      </c>
      <c r="F34" t="s">
        <v>48</v>
      </c>
      <c r="G34" t="s">
        <v>16</v>
      </c>
      <c r="H34" t="s">
        <v>17</v>
      </c>
      <c r="I34" t="s">
        <v>16</v>
      </c>
      <c r="J34" t="s">
        <v>15</v>
      </c>
      <c r="K34" t="s">
        <v>14</v>
      </c>
      <c r="L34" t="s">
        <v>13</v>
      </c>
      <c r="M34" t="s">
        <v>5</v>
      </c>
      <c r="N34" t="s">
        <v>4</v>
      </c>
      <c r="O34" t="s">
        <v>161</v>
      </c>
      <c r="P34" t="s">
        <v>160</v>
      </c>
      <c r="Q34" t="s">
        <v>10</v>
      </c>
      <c r="R34" t="s">
        <v>9</v>
      </c>
      <c r="S34" t="s">
        <v>8</v>
      </c>
      <c r="T34" t="s">
        <v>7</v>
      </c>
      <c r="U34" t="s">
        <v>3</v>
      </c>
      <c r="V34" t="s">
        <v>6</v>
      </c>
      <c r="W34">
        <v>2023</v>
      </c>
      <c r="Y34">
        <v>68223.125</v>
      </c>
      <c r="AA34" t="s">
        <v>183</v>
      </c>
      <c r="AB34" t="s">
        <v>182</v>
      </c>
      <c r="AC34">
        <v>2023</v>
      </c>
      <c r="AE34" t="s">
        <v>3</v>
      </c>
      <c r="AF34" t="s">
        <v>2</v>
      </c>
      <c r="AG34">
        <v>0</v>
      </c>
      <c r="AH34" t="s">
        <v>1</v>
      </c>
      <c r="AI34">
        <v>2</v>
      </c>
      <c r="AJ34" t="s">
        <v>0</v>
      </c>
    </row>
    <row r="35" spans="1:36" hidden="1" x14ac:dyDescent="0.2">
      <c r="A35" t="s">
        <v>23</v>
      </c>
      <c r="B35" t="s">
        <v>22</v>
      </c>
      <c r="C35" t="s">
        <v>21</v>
      </c>
      <c r="D35" t="s">
        <v>20</v>
      </c>
      <c r="E35" t="s">
        <v>47</v>
      </c>
      <c r="F35" t="s">
        <v>46</v>
      </c>
      <c r="G35" t="s">
        <v>16</v>
      </c>
      <c r="H35" t="s">
        <v>17</v>
      </c>
      <c r="I35" t="s">
        <v>16</v>
      </c>
      <c r="J35" t="s">
        <v>15</v>
      </c>
      <c r="K35" t="s">
        <v>14</v>
      </c>
      <c r="L35" t="s">
        <v>13</v>
      </c>
      <c r="M35" t="s">
        <v>5</v>
      </c>
      <c r="N35" t="s">
        <v>4</v>
      </c>
      <c r="O35" t="s">
        <v>161</v>
      </c>
      <c r="P35" t="s">
        <v>160</v>
      </c>
      <c r="Q35" t="s">
        <v>10</v>
      </c>
      <c r="R35" t="s">
        <v>9</v>
      </c>
      <c r="S35" t="s">
        <v>8</v>
      </c>
      <c r="T35" t="s">
        <v>7</v>
      </c>
      <c r="U35" t="s">
        <v>3</v>
      </c>
      <c r="V35" t="s">
        <v>6</v>
      </c>
      <c r="W35">
        <v>2023</v>
      </c>
      <c r="Y35">
        <v>39.597771000000002</v>
      </c>
      <c r="AA35" t="s">
        <v>181</v>
      </c>
      <c r="AB35" t="s">
        <v>180</v>
      </c>
      <c r="AC35">
        <v>2023</v>
      </c>
      <c r="AE35" t="s">
        <v>3</v>
      </c>
      <c r="AF35" t="s">
        <v>2</v>
      </c>
      <c r="AG35">
        <v>0</v>
      </c>
      <c r="AH35" t="s">
        <v>1</v>
      </c>
      <c r="AI35">
        <v>2</v>
      </c>
      <c r="AJ35" t="s">
        <v>0</v>
      </c>
    </row>
    <row r="36" spans="1:36" hidden="1" x14ac:dyDescent="0.2">
      <c r="A36" t="s">
        <v>23</v>
      </c>
      <c r="B36" t="s">
        <v>22</v>
      </c>
      <c r="C36" t="s">
        <v>21</v>
      </c>
      <c r="D36" t="s">
        <v>20</v>
      </c>
      <c r="E36" t="s">
        <v>45</v>
      </c>
      <c r="F36" t="s">
        <v>44</v>
      </c>
      <c r="G36" t="s">
        <v>16</v>
      </c>
      <c r="H36" t="s">
        <v>17</v>
      </c>
      <c r="I36" t="s">
        <v>16</v>
      </c>
      <c r="J36" t="s">
        <v>15</v>
      </c>
      <c r="K36" t="s">
        <v>14</v>
      </c>
      <c r="L36" t="s">
        <v>13</v>
      </c>
      <c r="M36" t="s">
        <v>5</v>
      </c>
      <c r="N36" t="s">
        <v>4</v>
      </c>
      <c r="O36" t="s">
        <v>161</v>
      </c>
      <c r="P36" t="s">
        <v>160</v>
      </c>
      <c r="Q36" t="s">
        <v>10</v>
      </c>
      <c r="R36" t="s">
        <v>9</v>
      </c>
      <c r="S36" t="s">
        <v>8</v>
      </c>
      <c r="T36" t="s">
        <v>7</v>
      </c>
      <c r="U36" t="s">
        <v>3</v>
      </c>
      <c r="V36" t="s">
        <v>6</v>
      </c>
      <c r="W36">
        <v>2023</v>
      </c>
      <c r="Y36">
        <v>594.31622000000004</v>
      </c>
      <c r="AA36" t="s">
        <v>179</v>
      </c>
      <c r="AB36" t="s">
        <v>178</v>
      </c>
      <c r="AC36">
        <v>2023</v>
      </c>
      <c r="AE36" t="s">
        <v>3</v>
      </c>
      <c r="AF36" t="s">
        <v>2</v>
      </c>
      <c r="AG36">
        <v>0</v>
      </c>
      <c r="AH36" t="s">
        <v>1</v>
      </c>
      <c r="AI36">
        <v>2</v>
      </c>
      <c r="AJ36" t="s">
        <v>0</v>
      </c>
    </row>
    <row r="37" spans="1:36" hidden="1" x14ac:dyDescent="0.2">
      <c r="A37" t="s">
        <v>23</v>
      </c>
      <c r="B37" t="s">
        <v>22</v>
      </c>
      <c r="C37" t="s">
        <v>21</v>
      </c>
      <c r="D37" t="s">
        <v>20</v>
      </c>
      <c r="E37" t="s">
        <v>43</v>
      </c>
      <c r="F37" t="s">
        <v>42</v>
      </c>
      <c r="G37" t="s">
        <v>16</v>
      </c>
      <c r="H37" t="s">
        <v>17</v>
      </c>
      <c r="I37" t="s">
        <v>16</v>
      </c>
      <c r="J37" t="s">
        <v>15</v>
      </c>
      <c r="K37" t="s">
        <v>14</v>
      </c>
      <c r="L37" t="s">
        <v>13</v>
      </c>
      <c r="M37" t="s">
        <v>5</v>
      </c>
      <c r="N37" t="s">
        <v>4</v>
      </c>
      <c r="O37" t="s">
        <v>161</v>
      </c>
      <c r="P37" t="s">
        <v>160</v>
      </c>
      <c r="Q37" t="s">
        <v>10</v>
      </c>
      <c r="R37" t="s">
        <v>9</v>
      </c>
      <c r="S37" t="s">
        <v>8</v>
      </c>
      <c r="T37" t="s">
        <v>7</v>
      </c>
      <c r="U37" t="s">
        <v>3</v>
      </c>
      <c r="V37" t="s">
        <v>6</v>
      </c>
      <c r="W37">
        <v>2023</v>
      </c>
      <c r="Y37">
        <v>240.16866999999999</v>
      </c>
      <c r="AA37" t="s">
        <v>177</v>
      </c>
      <c r="AB37" t="s">
        <v>176</v>
      </c>
      <c r="AC37">
        <v>2023</v>
      </c>
      <c r="AE37" t="s">
        <v>3</v>
      </c>
      <c r="AF37" t="s">
        <v>2</v>
      </c>
      <c r="AG37">
        <v>0</v>
      </c>
      <c r="AH37" t="s">
        <v>1</v>
      </c>
      <c r="AI37">
        <v>2</v>
      </c>
      <c r="AJ37" t="s">
        <v>0</v>
      </c>
    </row>
    <row r="38" spans="1:36" hidden="1" x14ac:dyDescent="0.2">
      <c r="A38" t="s">
        <v>23</v>
      </c>
      <c r="B38" t="s">
        <v>22</v>
      </c>
      <c r="C38" t="s">
        <v>21</v>
      </c>
      <c r="D38" t="s">
        <v>20</v>
      </c>
      <c r="E38" t="s">
        <v>41</v>
      </c>
      <c r="F38" t="s">
        <v>40</v>
      </c>
      <c r="G38" t="s">
        <v>16</v>
      </c>
      <c r="H38" t="s">
        <v>17</v>
      </c>
      <c r="I38" t="s">
        <v>16</v>
      </c>
      <c r="J38" t="s">
        <v>15</v>
      </c>
      <c r="K38" t="s">
        <v>14</v>
      </c>
      <c r="L38" t="s">
        <v>13</v>
      </c>
      <c r="M38" t="s">
        <v>5</v>
      </c>
      <c r="N38" t="s">
        <v>4</v>
      </c>
      <c r="O38" t="s">
        <v>161</v>
      </c>
      <c r="P38" t="s">
        <v>160</v>
      </c>
      <c r="Q38" t="s">
        <v>10</v>
      </c>
      <c r="R38" t="s">
        <v>9</v>
      </c>
      <c r="S38" t="s">
        <v>8</v>
      </c>
      <c r="T38" t="s">
        <v>7</v>
      </c>
      <c r="U38" t="s">
        <v>3</v>
      </c>
      <c r="V38" t="s">
        <v>6</v>
      </c>
      <c r="W38">
        <v>2023</v>
      </c>
      <c r="Y38">
        <v>379.17361</v>
      </c>
      <c r="AA38" t="s">
        <v>175</v>
      </c>
      <c r="AB38" t="s">
        <v>174</v>
      </c>
      <c r="AC38">
        <v>2023</v>
      </c>
      <c r="AE38" t="s">
        <v>3</v>
      </c>
      <c r="AF38" t="s">
        <v>2</v>
      </c>
      <c r="AG38">
        <v>0</v>
      </c>
      <c r="AH38" t="s">
        <v>1</v>
      </c>
      <c r="AI38">
        <v>2</v>
      </c>
      <c r="AJ38" t="s">
        <v>0</v>
      </c>
    </row>
    <row r="39" spans="1:36" hidden="1" x14ac:dyDescent="0.2">
      <c r="A39" t="s">
        <v>23</v>
      </c>
      <c r="B39" t="s">
        <v>22</v>
      </c>
      <c r="C39" t="s">
        <v>21</v>
      </c>
      <c r="D39" t="s">
        <v>20</v>
      </c>
      <c r="E39" t="s">
        <v>39</v>
      </c>
      <c r="F39" t="s">
        <v>38</v>
      </c>
      <c r="G39" t="s">
        <v>16</v>
      </c>
      <c r="H39" t="s">
        <v>17</v>
      </c>
      <c r="I39" t="s">
        <v>16</v>
      </c>
      <c r="J39" t="s">
        <v>15</v>
      </c>
      <c r="K39" t="s">
        <v>14</v>
      </c>
      <c r="L39" t="s">
        <v>13</v>
      </c>
      <c r="M39" t="s">
        <v>5</v>
      </c>
      <c r="N39" t="s">
        <v>4</v>
      </c>
      <c r="O39" t="s">
        <v>161</v>
      </c>
      <c r="P39" t="s">
        <v>160</v>
      </c>
      <c r="Q39" t="s">
        <v>10</v>
      </c>
      <c r="R39" t="s">
        <v>9</v>
      </c>
      <c r="S39" t="s">
        <v>8</v>
      </c>
      <c r="T39" t="s">
        <v>7</v>
      </c>
      <c r="U39" t="s">
        <v>3</v>
      </c>
      <c r="V39" t="s">
        <v>6</v>
      </c>
      <c r="W39">
        <v>2023</v>
      </c>
      <c r="Y39">
        <v>17342.240000000002</v>
      </c>
      <c r="AA39" t="s">
        <v>173</v>
      </c>
      <c r="AB39" t="s">
        <v>172</v>
      </c>
      <c r="AC39">
        <v>2023</v>
      </c>
      <c r="AE39" t="s">
        <v>3</v>
      </c>
      <c r="AF39" t="s">
        <v>2</v>
      </c>
      <c r="AG39">
        <v>0</v>
      </c>
      <c r="AH39" t="s">
        <v>1</v>
      </c>
      <c r="AI39">
        <v>2</v>
      </c>
      <c r="AJ39" t="s">
        <v>0</v>
      </c>
    </row>
    <row r="40" spans="1:36" hidden="1" x14ac:dyDescent="0.2">
      <c r="A40" t="s">
        <v>23</v>
      </c>
      <c r="B40" t="s">
        <v>22</v>
      </c>
      <c r="C40" t="s">
        <v>21</v>
      </c>
      <c r="D40" t="s">
        <v>20</v>
      </c>
      <c r="E40" t="s">
        <v>37</v>
      </c>
      <c r="F40" t="s">
        <v>36</v>
      </c>
      <c r="G40" t="s">
        <v>16</v>
      </c>
      <c r="H40" t="s">
        <v>17</v>
      </c>
      <c r="I40" t="s">
        <v>16</v>
      </c>
      <c r="J40" t="s">
        <v>15</v>
      </c>
      <c r="K40" t="s">
        <v>14</v>
      </c>
      <c r="L40" t="s">
        <v>13</v>
      </c>
      <c r="M40" t="s">
        <v>5</v>
      </c>
      <c r="N40" t="s">
        <v>4</v>
      </c>
      <c r="O40" t="s">
        <v>161</v>
      </c>
      <c r="P40" t="s">
        <v>160</v>
      </c>
      <c r="Q40" t="s">
        <v>10</v>
      </c>
      <c r="R40" t="s">
        <v>9</v>
      </c>
      <c r="S40" t="s">
        <v>8</v>
      </c>
      <c r="T40" t="s">
        <v>7</v>
      </c>
      <c r="U40" t="s">
        <v>3</v>
      </c>
      <c r="V40" t="s">
        <v>6</v>
      </c>
      <c r="W40">
        <v>2023</v>
      </c>
      <c r="Y40">
        <v>19.575199000000001</v>
      </c>
      <c r="AA40" t="s">
        <v>171</v>
      </c>
      <c r="AB40" t="s">
        <v>170</v>
      </c>
      <c r="AC40">
        <v>2023</v>
      </c>
      <c r="AE40" t="s">
        <v>3</v>
      </c>
      <c r="AF40" t="s">
        <v>2</v>
      </c>
      <c r="AG40">
        <v>0</v>
      </c>
      <c r="AH40" t="s">
        <v>1</v>
      </c>
      <c r="AI40">
        <v>2</v>
      </c>
      <c r="AJ40" t="s">
        <v>0</v>
      </c>
    </row>
    <row r="41" spans="1:36" hidden="1" x14ac:dyDescent="0.2">
      <c r="A41" t="s">
        <v>23</v>
      </c>
      <c r="B41" t="s">
        <v>22</v>
      </c>
      <c r="C41" t="s">
        <v>21</v>
      </c>
      <c r="D41" t="s">
        <v>20</v>
      </c>
      <c r="E41" t="s">
        <v>35</v>
      </c>
      <c r="F41" t="s">
        <v>34</v>
      </c>
      <c r="G41" t="s">
        <v>16</v>
      </c>
      <c r="H41" t="s">
        <v>17</v>
      </c>
      <c r="I41" t="s">
        <v>16</v>
      </c>
      <c r="J41" t="s">
        <v>15</v>
      </c>
      <c r="K41" t="s">
        <v>14</v>
      </c>
      <c r="L41" t="s">
        <v>13</v>
      </c>
      <c r="M41" t="s">
        <v>5</v>
      </c>
      <c r="N41" t="s">
        <v>4</v>
      </c>
      <c r="O41" t="s">
        <v>161</v>
      </c>
      <c r="P41" t="s">
        <v>160</v>
      </c>
      <c r="Q41" t="s">
        <v>10</v>
      </c>
      <c r="R41" t="s">
        <v>9</v>
      </c>
      <c r="S41" t="s">
        <v>8</v>
      </c>
      <c r="T41" t="s">
        <v>7</v>
      </c>
      <c r="U41" t="s">
        <v>3</v>
      </c>
      <c r="V41" t="s">
        <v>6</v>
      </c>
      <c r="W41">
        <v>2023</v>
      </c>
      <c r="Y41">
        <v>319.48630000000003</v>
      </c>
      <c r="AA41" t="s">
        <v>169</v>
      </c>
      <c r="AB41" t="s">
        <v>168</v>
      </c>
      <c r="AC41">
        <v>2023</v>
      </c>
      <c r="AE41" t="s">
        <v>3</v>
      </c>
      <c r="AF41" t="s">
        <v>2</v>
      </c>
      <c r="AG41">
        <v>0</v>
      </c>
      <c r="AH41" t="s">
        <v>1</v>
      </c>
      <c r="AI41">
        <v>2</v>
      </c>
      <c r="AJ41" t="s">
        <v>0</v>
      </c>
    </row>
    <row r="42" spans="1:36" hidden="1" x14ac:dyDescent="0.2">
      <c r="A42" t="s">
        <v>23</v>
      </c>
      <c r="B42" t="s">
        <v>22</v>
      </c>
      <c r="C42" t="s">
        <v>21</v>
      </c>
      <c r="D42" t="s">
        <v>20</v>
      </c>
      <c r="E42" t="s">
        <v>33</v>
      </c>
      <c r="F42" t="s">
        <v>32</v>
      </c>
      <c r="G42" t="s">
        <v>16</v>
      </c>
      <c r="H42" t="s">
        <v>17</v>
      </c>
      <c r="I42" t="s">
        <v>16</v>
      </c>
      <c r="J42" t="s">
        <v>15</v>
      </c>
      <c r="K42" t="s">
        <v>14</v>
      </c>
      <c r="L42" t="s">
        <v>13</v>
      </c>
      <c r="M42" t="s">
        <v>5</v>
      </c>
      <c r="N42" t="s">
        <v>4</v>
      </c>
      <c r="O42" t="s">
        <v>161</v>
      </c>
      <c r="P42" t="s">
        <v>160</v>
      </c>
      <c r="Q42" t="s">
        <v>10</v>
      </c>
      <c r="R42" t="s">
        <v>9</v>
      </c>
      <c r="S42" t="s">
        <v>8</v>
      </c>
      <c r="T42" t="s">
        <v>7</v>
      </c>
      <c r="U42" t="s">
        <v>3</v>
      </c>
      <c r="V42" t="s">
        <v>6</v>
      </c>
      <c r="W42">
        <v>2023</v>
      </c>
      <c r="Y42">
        <v>64140.824000000001</v>
      </c>
      <c r="AA42" t="s">
        <v>167</v>
      </c>
      <c r="AB42" t="s">
        <v>166</v>
      </c>
      <c r="AC42">
        <v>2023</v>
      </c>
      <c r="AE42" t="s">
        <v>3</v>
      </c>
      <c r="AF42" t="s">
        <v>2</v>
      </c>
      <c r="AG42">
        <v>0</v>
      </c>
      <c r="AH42" t="s">
        <v>1</v>
      </c>
      <c r="AI42">
        <v>2</v>
      </c>
      <c r="AJ42" t="s">
        <v>0</v>
      </c>
    </row>
    <row r="43" spans="1:36" hidden="1" x14ac:dyDescent="0.2">
      <c r="A43" t="s">
        <v>23</v>
      </c>
      <c r="B43" t="s">
        <v>22</v>
      </c>
      <c r="C43" t="s">
        <v>21</v>
      </c>
      <c r="D43" t="s">
        <v>20</v>
      </c>
      <c r="E43" t="s">
        <v>31</v>
      </c>
      <c r="F43" t="s">
        <v>30</v>
      </c>
      <c r="G43" t="s">
        <v>16</v>
      </c>
      <c r="H43" t="s">
        <v>17</v>
      </c>
      <c r="I43" t="s">
        <v>16</v>
      </c>
      <c r="J43" t="s">
        <v>15</v>
      </c>
      <c r="K43" t="s">
        <v>14</v>
      </c>
      <c r="L43" t="s">
        <v>13</v>
      </c>
      <c r="M43" t="s">
        <v>5</v>
      </c>
      <c r="N43" t="s">
        <v>4</v>
      </c>
      <c r="O43" t="s">
        <v>161</v>
      </c>
      <c r="P43" t="s">
        <v>160</v>
      </c>
      <c r="Q43" t="s">
        <v>10</v>
      </c>
      <c r="R43" t="s">
        <v>9</v>
      </c>
      <c r="S43" t="s">
        <v>8</v>
      </c>
      <c r="T43" t="s">
        <v>7</v>
      </c>
      <c r="U43" t="s">
        <v>3</v>
      </c>
      <c r="V43" t="s">
        <v>6</v>
      </c>
      <c r="W43">
        <v>2023</v>
      </c>
      <c r="Y43">
        <v>682.60961999999995</v>
      </c>
      <c r="AA43" t="s">
        <v>165</v>
      </c>
      <c r="AB43" t="s">
        <v>164</v>
      </c>
      <c r="AC43">
        <v>2023</v>
      </c>
      <c r="AE43" t="s">
        <v>3</v>
      </c>
      <c r="AF43" t="s">
        <v>2</v>
      </c>
      <c r="AG43">
        <v>0</v>
      </c>
      <c r="AH43" t="s">
        <v>1</v>
      </c>
      <c r="AI43">
        <v>2</v>
      </c>
      <c r="AJ43" t="s">
        <v>0</v>
      </c>
    </row>
    <row r="44" spans="1:36" hidden="1" x14ac:dyDescent="0.2">
      <c r="A44" t="s">
        <v>23</v>
      </c>
      <c r="B44" t="s">
        <v>22</v>
      </c>
      <c r="C44" t="s">
        <v>21</v>
      </c>
      <c r="D44" t="s">
        <v>20</v>
      </c>
      <c r="E44" t="s">
        <v>29</v>
      </c>
      <c r="F44" t="s">
        <v>28</v>
      </c>
      <c r="G44" t="s">
        <v>16</v>
      </c>
      <c r="H44" t="s">
        <v>17</v>
      </c>
      <c r="I44" t="s">
        <v>16</v>
      </c>
      <c r="J44" t="s">
        <v>15</v>
      </c>
      <c r="K44" t="s">
        <v>14</v>
      </c>
      <c r="L44" t="s">
        <v>13</v>
      </c>
      <c r="M44" t="s">
        <v>5</v>
      </c>
      <c r="N44" t="s">
        <v>4</v>
      </c>
      <c r="O44" t="s">
        <v>161</v>
      </c>
      <c r="P44" t="s">
        <v>160</v>
      </c>
      <c r="Q44" t="s">
        <v>10</v>
      </c>
      <c r="R44" t="s">
        <v>9</v>
      </c>
      <c r="S44" t="s">
        <v>8</v>
      </c>
      <c r="T44" t="s">
        <v>7</v>
      </c>
      <c r="U44" t="s">
        <v>3</v>
      </c>
      <c r="V44" t="s">
        <v>6</v>
      </c>
      <c r="W44">
        <v>2023</v>
      </c>
      <c r="Y44">
        <v>50.788017000000004</v>
      </c>
      <c r="AA44" t="s">
        <v>163</v>
      </c>
      <c r="AB44" t="s">
        <v>162</v>
      </c>
      <c r="AC44">
        <v>2023</v>
      </c>
      <c r="AE44" t="s">
        <v>3</v>
      </c>
      <c r="AF44" t="s">
        <v>2</v>
      </c>
      <c r="AG44">
        <v>0</v>
      </c>
      <c r="AH44" t="s">
        <v>1</v>
      </c>
      <c r="AI44">
        <v>2</v>
      </c>
      <c r="AJ44" t="s">
        <v>0</v>
      </c>
    </row>
    <row r="45" spans="1:36" x14ac:dyDescent="0.2">
      <c r="A45" t="s">
        <v>23</v>
      </c>
      <c r="B45" t="s">
        <v>22</v>
      </c>
      <c r="C45" t="s">
        <v>21</v>
      </c>
      <c r="D45" t="s">
        <v>20</v>
      </c>
      <c r="E45" t="s">
        <v>155</v>
      </c>
      <c r="F45" t="s">
        <v>154</v>
      </c>
      <c r="G45" t="s">
        <v>16</v>
      </c>
      <c r="H45" t="s">
        <v>17</v>
      </c>
      <c r="I45" t="s">
        <v>16</v>
      </c>
      <c r="J45" t="s">
        <v>15</v>
      </c>
      <c r="K45" t="s">
        <v>14</v>
      </c>
      <c r="L45" t="s">
        <v>13</v>
      </c>
      <c r="M45" t="s">
        <v>5</v>
      </c>
      <c r="N45" t="s">
        <v>4</v>
      </c>
      <c r="O45" t="s">
        <v>161</v>
      </c>
      <c r="P45" t="s">
        <v>160</v>
      </c>
      <c r="Q45" t="s">
        <v>10</v>
      </c>
      <c r="R45" t="s">
        <v>9</v>
      </c>
      <c r="S45" t="s">
        <v>8</v>
      </c>
      <c r="T45" t="s">
        <v>7</v>
      </c>
      <c r="U45" t="s">
        <v>3</v>
      </c>
      <c r="V45" t="s">
        <v>6</v>
      </c>
      <c r="W45">
        <v>2023</v>
      </c>
      <c r="Y45">
        <v>85.875618000000003</v>
      </c>
      <c r="AA45" t="s">
        <v>159</v>
      </c>
      <c r="AB45" t="s">
        <v>158</v>
      </c>
      <c r="AC45">
        <v>2023</v>
      </c>
      <c r="AE45" t="s">
        <v>3</v>
      </c>
      <c r="AF45" t="s">
        <v>2</v>
      </c>
      <c r="AG45">
        <v>0</v>
      </c>
      <c r="AH45" t="s">
        <v>1</v>
      </c>
      <c r="AI45">
        <v>2</v>
      </c>
      <c r="AJ45" t="s">
        <v>0</v>
      </c>
    </row>
    <row r="46" spans="1:36" x14ac:dyDescent="0.2">
      <c r="A46" t="s">
        <v>23</v>
      </c>
      <c r="B46" t="s">
        <v>22</v>
      </c>
      <c r="C46" t="s">
        <v>21</v>
      </c>
      <c r="D46" t="s">
        <v>20</v>
      </c>
      <c r="E46" t="s">
        <v>153</v>
      </c>
      <c r="F46" t="s">
        <v>152</v>
      </c>
      <c r="G46" t="s">
        <v>16</v>
      </c>
      <c r="H46" t="s">
        <v>17</v>
      </c>
      <c r="I46" t="s">
        <v>16</v>
      </c>
      <c r="J46" t="s">
        <v>15</v>
      </c>
      <c r="K46" t="s">
        <v>14</v>
      </c>
      <c r="L46" t="s">
        <v>13</v>
      </c>
      <c r="M46" t="s">
        <v>5</v>
      </c>
      <c r="N46" t="s">
        <v>4</v>
      </c>
      <c r="O46" t="s">
        <v>161</v>
      </c>
      <c r="P46" t="s">
        <v>160</v>
      </c>
      <c r="Q46" t="s">
        <v>10</v>
      </c>
      <c r="R46" t="s">
        <v>9</v>
      </c>
      <c r="S46" t="s">
        <v>8</v>
      </c>
      <c r="T46" t="s">
        <v>7</v>
      </c>
      <c r="U46" t="s">
        <v>3</v>
      </c>
      <c r="V46" t="s">
        <v>6</v>
      </c>
      <c r="W46">
        <v>2023</v>
      </c>
      <c r="Y46">
        <v>82.957511999999994</v>
      </c>
      <c r="AA46" t="s">
        <v>159</v>
      </c>
      <c r="AB46" t="s">
        <v>158</v>
      </c>
      <c r="AC46">
        <v>2023</v>
      </c>
      <c r="AE46" t="s">
        <v>3</v>
      </c>
      <c r="AF46" t="s">
        <v>2</v>
      </c>
      <c r="AG46">
        <v>0</v>
      </c>
      <c r="AH46" t="s">
        <v>1</v>
      </c>
      <c r="AI46">
        <v>2</v>
      </c>
      <c r="AJ46" t="s">
        <v>0</v>
      </c>
    </row>
    <row r="47" spans="1:36" x14ac:dyDescent="0.2">
      <c r="A47" t="s">
        <v>23</v>
      </c>
      <c r="B47" t="s">
        <v>22</v>
      </c>
      <c r="C47" t="s">
        <v>21</v>
      </c>
      <c r="D47" t="s">
        <v>20</v>
      </c>
      <c r="E47" t="s">
        <v>141</v>
      </c>
      <c r="F47" t="s">
        <v>140</v>
      </c>
      <c r="G47" t="s">
        <v>16</v>
      </c>
      <c r="H47" t="s">
        <v>17</v>
      </c>
      <c r="I47" t="s">
        <v>16</v>
      </c>
      <c r="J47" t="s">
        <v>15</v>
      </c>
      <c r="K47" t="s">
        <v>14</v>
      </c>
      <c r="L47" t="s">
        <v>13</v>
      </c>
      <c r="M47" t="s">
        <v>5</v>
      </c>
      <c r="N47" t="s">
        <v>4</v>
      </c>
      <c r="O47" t="s">
        <v>161</v>
      </c>
      <c r="P47" t="s">
        <v>160</v>
      </c>
      <c r="Q47" t="s">
        <v>10</v>
      </c>
      <c r="R47" t="s">
        <v>9</v>
      </c>
      <c r="S47" t="s">
        <v>8</v>
      </c>
      <c r="T47" t="s">
        <v>7</v>
      </c>
      <c r="U47" t="s">
        <v>3</v>
      </c>
      <c r="V47" t="s">
        <v>6</v>
      </c>
      <c r="W47">
        <v>2023</v>
      </c>
      <c r="Y47">
        <v>80.378997999999996</v>
      </c>
      <c r="AA47" t="s">
        <v>159</v>
      </c>
      <c r="AB47" t="s">
        <v>158</v>
      </c>
      <c r="AC47">
        <v>2023</v>
      </c>
      <c r="AE47" t="s">
        <v>3</v>
      </c>
      <c r="AF47" t="s">
        <v>2</v>
      </c>
      <c r="AG47">
        <v>0</v>
      </c>
      <c r="AH47" t="s">
        <v>1</v>
      </c>
      <c r="AI47">
        <v>2</v>
      </c>
      <c r="AJ47" t="s">
        <v>0</v>
      </c>
    </row>
    <row r="48" spans="1:36" x14ac:dyDescent="0.2">
      <c r="A48" t="s">
        <v>23</v>
      </c>
      <c r="B48" t="s">
        <v>22</v>
      </c>
      <c r="C48" t="s">
        <v>21</v>
      </c>
      <c r="D48" t="s">
        <v>20</v>
      </c>
      <c r="E48" t="s">
        <v>139</v>
      </c>
      <c r="F48" t="s">
        <v>138</v>
      </c>
      <c r="G48" t="s">
        <v>16</v>
      </c>
      <c r="H48" t="s">
        <v>17</v>
      </c>
      <c r="I48" t="s">
        <v>16</v>
      </c>
      <c r="J48" t="s">
        <v>15</v>
      </c>
      <c r="K48" t="s">
        <v>14</v>
      </c>
      <c r="L48" t="s">
        <v>13</v>
      </c>
      <c r="M48" t="s">
        <v>5</v>
      </c>
      <c r="N48" t="s">
        <v>4</v>
      </c>
      <c r="O48" t="s">
        <v>161</v>
      </c>
      <c r="P48" t="s">
        <v>160</v>
      </c>
      <c r="Q48" t="s">
        <v>10</v>
      </c>
      <c r="R48" t="s">
        <v>9</v>
      </c>
      <c r="S48" t="s">
        <v>8</v>
      </c>
      <c r="T48" t="s">
        <v>7</v>
      </c>
      <c r="U48" t="s">
        <v>3</v>
      </c>
      <c r="V48" t="s">
        <v>6</v>
      </c>
      <c r="W48">
        <v>2023</v>
      </c>
      <c r="Y48">
        <v>101.84974</v>
      </c>
      <c r="AA48" t="s">
        <v>159</v>
      </c>
      <c r="AB48" t="s">
        <v>158</v>
      </c>
      <c r="AC48">
        <v>2023</v>
      </c>
      <c r="AE48" t="s">
        <v>3</v>
      </c>
      <c r="AF48" t="s">
        <v>2</v>
      </c>
      <c r="AG48">
        <v>0</v>
      </c>
      <c r="AH48" t="s">
        <v>1</v>
      </c>
      <c r="AI48">
        <v>2</v>
      </c>
      <c r="AJ48" t="s">
        <v>0</v>
      </c>
    </row>
    <row r="49" spans="1:36" x14ac:dyDescent="0.2">
      <c r="A49" t="s">
        <v>23</v>
      </c>
      <c r="B49" t="s">
        <v>22</v>
      </c>
      <c r="C49" t="s">
        <v>21</v>
      </c>
      <c r="D49" t="s">
        <v>20</v>
      </c>
      <c r="E49" t="s">
        <v>137</v>
      </c>
      <c r="F49" t="s">
        <v>136</v>
      </c>
      <c r="G49" t="s">
        <v>16</v>
      </c>
      <c r="H49" t="s">
        <v>17</v>
      </c>
      <c r="I49" t="s">
        <v>16</v>
      </c>
      <c r="J49" t="s">
        <v>15</v>
      </c>
      <c r="K49" t="s">
        <v>14</v>
      </c>
      <c r="L49" t="s">
        <v>13</v>
      </c>
      <c r="M49" t="s">
        <v>5</v>
      </c>
      <c r="N49" t="s">
        <v>4</v>
      </c>
      <c r="O49" t="s">
        <v>161</v>
      </c>
      <c r="P49" t="s">
        <v>160</v>
      </c>
      <c r="Q49" t="s">
        <v>10</v>
      </c>
      <c r="R49" t="s">
        <v>9</v>
      </c>
      <c r="S49" t="s">
        <v>8</v>
      </c>
      <c r="T49" t="s">
        <v>7</v>
      </c>
      <c r="U49" t="s">
        <v>3</v>
      </c>
      <c r="V49" t="s">
        <v>6</v>
      </c>
      <c r="W49">
        <v>2023</v>
      </c>
      <c r="Y49">
        <v>47.142189000000002</v>
      </c>
      <c r="AA49" t="s">
        <v>159</v>
      </c>
      <c r="AB49" t="s">
        <v>158</v>
      </c>
      <c r="AC49">
        <v>2023</v>
      </c>
      <c r="AE49" t="s">
        <v>3</v>
      </c>
      <c r="AF49" t="s">
        <v>2</v>
      </c>
      <c r="AG49">
        <v>0</v>
      </c>
      <c r="AH49" t="s">
        <v>1</v>
      </c>
      <c r="AI49">
        <v>2</v>
      </c>
      <c r="AJ49" t="s">
        <v>0</v>
      </c>
    </row>
    <row r="50" spans="1:36" x14ac:dyDescent="0.2">
      <c r="A50" t="s">
        <v>23</v>
      </c>
      <c r="B50" t="s">
        <v>22</v>
      </c>
      <c r="C50" t="s">
        <v>21</v>
      </c>
      <c r="D50" t="s">
        <v>20</v>
      </c>
      <c r="E50" t="s">
        <v>135</v>
      </c>
      <c r="F50" t="s">
        <v>134</v>
      </c>
      <c r="G50" t="s">
        <v>16</v>
      </c>
      <c r="H50" t="s">
        <v>17</v>
      </c>
      <c r="I50" t="s">
        <v>16</v>
      </c>
      <c r="J50" t="s">
        <v>15</v>
      </c>
      <c r="K50" t="s">
        <v>14</v>
      </c>
      <c r="L50" t="s">
        <v>13</v>
      </c>
      <c r="M50" t="s">
        <v>5</v>
      </c>
      <c r="N50" t="s">
        <v>4</v>
      </c>
      <c r="O50" t="s">
        <v>161</v>
      </c>
      <c r="P50" t="s">
        <v>160</v>
      </c>
      <c r="Q50" t="s">
        <v>10</v>
      </c>
      <c r="R50" t="s">
        <v>9</v>
      </c>
      <c r="S50" t="s">
        <v>8</v>
      </c>
      <c r="T50" t="s">
        <v>7</v>
      </c>
      <c r="U50" t="s">
        <v>3</v>
      </c>
      <c r="V50" t="s">
        <v>6</v>
      </c>
      <c r="W50">
        <v>2023</v>
      </c>
      <c r="Y50">
        <v>93.442047000000002</v>
      </c>
      <c r="AA50" t="s">
        <v>159</v>
      </c>
      <c r="AB50" t="s">
        <v>158</v>
      </c>
      <c r="AC50">
        <v>2023</v>
      </c>
      <c r="AE50" t="s">
        <v>3</v>
      </c>
      <c r="AF50" t="s">
        <v>2</v>
      </c>
      <c r="AG50">
        <v>0</v>
      </c>
      <c r="AH50" t="s">
        <v>1</v>
      </c>
      <c r="AI50">
        <v>2</v>
      </c>
      <c r="AJ50" t="s">
        <v>0</v>
      </c>
    </row>
    <row r="51" spans="1:36" x14ac:dyDescent="0.2">
      <c r="A51" t="s">
        <v>23</v>
      </c>
      <c r="B51" t="s">
        <v>22</v>
      </c>
      <c r="C51" t="s">
        <v>21</v>
      </c>
      <c r="D51" t="s">
        <v>20</v>
      </c>
      <c r="E51" t="s">
        <v>133</v>
      </c>
      <c r="F51" t="s">
        <v>132</v>
      </c>
      <c r="G51" t="s">
        <v>16</v>
      </c>
      <c r="H51" t="s">
        <v>17</v>
      </c>
      <c r="I51" t="s">
        <v>16</v>
      </c>
      <c r="J51" t="s">
        <v>15</v>
      </c>
      <c r="K51" t="s">
        <v>14</v>
      </c>
      <c r="L51" t="s">
        <v>13</v>
      </c>
      <c r="M51" t="s">
        <v>5</v>
      </c>
      <c r="N51" t="s">
        <v>4</v>
      </c>
      <c r="O51" t="s">
        <v>161</v>
      </c>
      <c r="P51" t="s">
        <v>160</v>
      </c>
      <c r="Q51" t="s">
        <v>10</v>
      </c>
      <c r="R51" t="s">
        <v>9</v>
      </c>
      <c r="S51" t="s">
        <v>8</v>
      </c>
      <c r="T51" t="s">
        <v>7</v>
      </c>
      <c r="U51" t="s">
        <v>3</v>
      </c>
      <c r="V51" t="s">
        <v>6</v>
      </c>
      <c r="W51">
        <v>2023</v>
      </c>
      <c r="Y51">
        <v>76.593299999999999</v>
      </c>
      <c r="AA51" t="s">
        <v>159</v>
      </c>
      <c r="AB51" t="s">
        <v>158</v>
      </c>
      <c r="AC51">
        <v>2023</v>
      </c>
      <c r="AE51" t="s">
        <v>3</v>
      </c>
      <c r="AF51" t="s">
        <v>2</v>
      </c>
      <c r="AG51">
        <v>0</v>
      </c>
      <c r="AH51" t="s">
        <v>1</v>
      </c>
      <c r="AI51">
        <v>2</v>
      </c>
      <c r="AJ51" t="s">
        <v>0</v>
      </c>
    </row>
    <row r="52" spans="1:36" x14ac:dyDescent="0.2">
      <c r="A52" t="s">
        <v>23</v>
      </c>
      <c r="B52" t="s">
        <v>22</v>
      </c>
      <c r="C52" t="s">
        <v>21</v>
      </c>
      <c r="D52" t="s">
        <v>20</v>
      </c>
      <c r="E52" t="s">
        <v>127</v>
      </c>
      <c r="F52" t="s">
        <v>126</v>
      </c>
      <c r="G52" t="s">
        <v>16</v>
      </c>
      <c r="H52" t="s">
        <v>17</v>
      </c>
      <c r="I52" t="s">
        <v>16</v>
      </c>
      <c r="J52" t="s">
        <v>15</v>
      </c>
      <c r="K52" t="s">
        <v>14</v>
      </c>
      <c r="L52" t="s">
        <v>13</v>
      </c>
      <c r="M52" t="s">
        <v>5</v>
      </c>
      <c r="N52" t="s">
        <v>4</v>
      </c>
      <c r="O52" t="s">
        <v>161</v>
      </c>
      <c r="P52" t="s">
        <v>160</v>
      </c>
      <c r="Q52" t="s">
        <v>10</v>
      </c>
      <c r="R52" t="s">
        <v>9</v>
      </c>
      <c r="S52" t="s">
        <v>8</v>
      </c>
      <c r="T52" t="s">
        <v>7</v>
      </c>
      <c r="U52" t="s">
        <v>3</v>
      </c>
      <c r="V52" t="s">
        <v>6</v>
      </c>
      <c r="W52">
        <v>2023</v>
      </c>
      <c r="Y52">
        <v>59.683121</v>
      </c>
      <c r="AA52" t="s">
        <v>159</v>
      </c>
      <c r="AB52" t="s">
        <v>158</v>
      </c>
      <c r="AC52">
        <v>2023</v>
      </c>
      <c r="AE52" t="s">
        <v>3</v>
      </c>
      <c r="AF52" t="s">
        <v>2</v>
      </c>
      <c r="AG52">
        <v>0</v>
      </c>
      <c r="AH52" t="s">
        <v>1</v>
      </c>
      <c r="AI52">
        <v>2</v>
      </c>
      <c r="AJ52" t="s">
        <v>0</v>
      </c>
    </row>
    <row r="53" spans="1:36" x14ac:dyDescent="0.2">
      <c r="A53" t="s">
        <v>23</v>
      </c>
      <c r="B53" t="s">
        <v>22</v>
      </c>
      <c r="C53" t="s">
        <v>21</v>
      </c>
      <c r="D53" t="s">
        <v>20</v>
      </c>
      <c r="E53" t="s">
        <v>123</v>
      </c>
      <c r="F53" t="s">
        <v>122</v>
      </c>
      <c r="G53" t="s">
        <v>16</v>
      </c>
      <c r="H53" t="s">
        <v>17</v>
      </c>
      <c r="I53" t="s">
        <v>16</v>
      </c>
      <c r="J53" t="s">
        <v>15</v>
      </c>
      <c r="K53" t="s">
        <v>14</v>
      </c>
      <c r="L53" t="s">
        <v>13</v>
      </c>
      <c r="M53" t="s">
        <v>5</v>
      </c>
      <c r="N53" t="s">
        <v>4</v>
      </c>
      <c r="O53" t="s">
        <v>161</v>
      </c>
      <c r="P53" t="s">
        <v>160</v>
      </c>
      <c r="Q53" t="s">
        <v>10</v>
      </c>
      <c r="R53" t="s">
        <v>9</v>
      </c>
      <c r="S53" t="s">
        <v>8</v>
      </c>
      <c r="T53" t="s">
        <v>7</v>
      </c>
      <c r="U53" t="s">
        <v>3</v>
      </c>
      <c r="V53" t="s">
        <v>6</v>
      </c>
      <c r="W53">
        <v>2023</v>
      </c>
      <c r="Y53">
        <v>110.8419</v>
      </c>
      <c r="AA53" t="s">
        <v>159</v>
      </c>
      <c r="AB53" t="s">
        <v>158</v>
      </c>
      <c r="AC53">
        <v>2023</v>
      </c>
      <c r="AE53" t="s">
        <v>3</v>
      </c>
      <c r="AF53" t="s">
        <v>2</v>
      </c>
      <c r="AG53">
        <v>0</v>
      </c>
      <c r="AH53" t="s">
        <v>1</v>
      </c>
      <c r="AI53">
        <v>2</v>
      </c>
      <c r="AJ53" t="s">
        <v>0</v>
      </c>
    </row>
    <row r="54" spans="1:36" x14ac:dyDescent="0.2">
      <c r="A54" t="s">
        <v>23</v>
      </c>
      <c r="B54" t="s">
        <v>22</v>
      </c>
      <c r="C54" t="s">
        <v>21</v>
      </c>
      <c r="D54" t="s">
        <v>20</v>
      </c>
      <c r="E54" t="s">
        <v>117</v>
      </c>
      <c r="F54" t="s">
        <v>116</v>
      </c>
      <c r="G54" t="s">
        <v>16</v>
      </c>
      <c r="H54" t="s">
        <v>17</v>
      </c>
      <c r="I54" t="s">
        <v>16</v>
      </c>
      <c r="J54" t="s">
        <v>15</v>
      </c>
      <c r="K54" t="s">
        <v>14</v>
      </c>
      <c r="L54" t="s">
        <v>13</v>
      </c>
      <c r="M54" t="s">
        <v>5</v>
      </c>
      <c r="N54" t="s">
        <v>4</v>
      </c>
      <c r="O54" t="s">
        <v>161</v>
      </c>
      <c r="P54" t="s">
        <v>160</v>
      </c>
      <c r="Q54" t="s">
        <v>10</v>
      </c>
      <c r="R54" t="s">
        <v>9</v>
      </c>
      <c r="S54" t="s">
        <v>8</v>
      </c>
      <c r="T54" t="s">
        <v>7</v>
      </c>
      <c r="U54" t="s">
        <v>3</v>
      </c>
      <c r="V54" t="s">
        <v>6</v>
      </c>
      <c r="W54">
        <v>2023</v>
      </c>
      <c r="Y54">
        <v>61.617077000000002</v>
      </c>
      <c r="AA54" t="s">
        <v>159</v>
      </c>
      <c r="AB54" t="s">
        <v>158</v>
      </c>
      <c r="AC54">
        <v>2023</v>
      </c>
      <c r="AE54" t="s">
        <v>3</v>
      </c>
      <c r="AF54" t="s">
        <v>2</v>
      </c>
      <c r="AG54">
        <v>0</v>
      </c>
      <c r="AH54" t="s">
        <v>1</v>
      </c>
      <c r="AI54">
        <v>2</v>
      </c>
      <c r="AJ54" t="s">
        <v>0</v>
      </c>
    </row>
    <row r="55" spans="1:36" x14ac:dyDescent="0.2">
      <c r="A55" t="s">
        <v>23</v>
      </c>
      <c r="B55" t="s">
        <v>22</v>
      </c>
      <c r="C55" t="s">
        <v>21</v>
      </c>
      <c r="D55" t="s">
        <v>20</v>
      </c>
      <c r="E55" t="s">
        <v>115</v>
      </c>
      <c r="F55" t="s">
        <v>114</v>
      </c>
      <c r="G55" t="s">
        <v>16</v>
      </c>
      <c r="H55" t="s">
        <v>17</v>
      </c>
      <c r="I55" t="s">
        <v>16</v>
      </c>
      <c r="J55" t="s">
        <v>15</v>
      </c>
      <c r="K55" t="s">
        <v>14</v>
      </c>
      <c r="L55" t="s">
        <v>13</v>
      </c>
      <c r="M55" t="s">
        <v>5</v>
      </c>
      <c r="N55" t="s">
        <v>4</v>
      </c>
      <c r="O55" t="s">
        <v>161</v>
      </c>
      <c r="P55" t="s">
        <v>160</v>
      </c>
      <c r="Q55" t="s">
        <v>10</v>
      </c>
      <c r="R55" t="s">
        <v>9</v>
      </c>
      <c r="S55" t="s">
        <v>8</v>
      </c>
      <c r="T55" t="s">
        <v>7</v>
      </c>
      <c r="U55" t="s">
        <v>3</v>
      </c>
      <c r="V55" t="s">
        <v>6</v>
      </c>
      <c r="W55">
        <v>2023</v>
      </c>
      <c r="Y55">
        <v>42.414462999999998</v>
      </c>
      <c r="AA55" t="s">
        <v>159</v>
      </c>
      <c r="AB55" t="s">
        <v>158</v>
      </c>
      <c r="AC55">
        <v>2023</v>
      </c>
      <c r="AE55" t="s">
        <v>3</v>
      </c>
      <c r="AF55" t="s">
        <v>2</v>
      </c>
      <c r="AG55">
        <v>0</v>
      </c>
      <c r="AH55" t="s">
        <v>1</v>
      </c>
      <c r="AI55">
        <v>2</v>
      </c>
      <c r="AJ55" t="s">
        <v>0</v>
      </c>
    </row>
    <row r="56" spans="1:36" x14ac:dyDescent="0.2">
      <c r="A56" t="s">
        <v>23</v>
      </c>
      <c r="B56" t="s">
        <v>22</v>
      </c>
      <c r="C56" t="s">
        <v>21</v>
      </c>
      <c r="D56" t="s">
        <v>20</v>
      </c>
      <c r="E56" t="s">
        <v>113</v>
      </c>
      <c r="F56" t="s">
        <v>112</v>
      </c>
      <c r="G56" t="s">
        <v>16</v>
      </c>
      <c r="H56" t="s">
        <v>17</v>
      </c>
      <c r="I56" t="s">
        <v>16</v>
      </c>
      <c r="J56" t="s">
        <v>15</v>
      </c>
      <c r="K56" t="s">
        <v>14</v>
      </c>
      <c r="L56" t="s">
        <v>13</v>
      </c>
      <c r="M56" t="s">
        <v>5</v>
      </c>
      <c r="N56" t="s">
        <v>4</v>
      </c>
      <c r="O56" t="s">
        <v>161</v>
      </c>
      <c r="P56" t="s">
        <v>160</v>
      </c>
      <c r="Q56" t="s">
        <v>10</v>
      </c>
      <c r="R56" t="s">
        <v>9</v>
      </c>
      <c r="S56" t="s">
        <v>8</v>
      </c>
      <c r="T56" t="s">
        <v>7</v>
      </c>
      <c r="U56" t="s">
        <v>3</v>
      </c>
      <c r="V56" t="s">
        <v>6</v>
      </c>
      <c r="W56">
        <v>2023</v>
      </c>
      <c r="Y56">
        <v>125.06547999999999</v>
      </c>
      <c r="AA56" t="s">
        <v>159</v>
      </c>
      <c r="AB56" t="s">
        <v>158</v>
      </c>
      <c r="AC56">
        <v>2023</v>
      </c>
      <c r="AE56" t="s">
        <v>3</v>
      </c>
      <c r="AF56" t="s">
        <v>2</v>
      </c>
      <c r="AG56">
        <v>0</v>
      </c>
      <c r="AH56" t="s">
        <v>1</v>
      </c>
      <c r="AI56">
        <v>2</v>
      </c>
      <c r="AJ56" t="s">
        <v>0</v>
      </c>
    </row>
    <row r="57" spans="1:36" x14ac:dyDescent="0.2">
      <c r="A57" t="s">
        <v>23</v>
      </c>
      <c r="B57" t="s">
        <v>22</v>
      </c>
      <c r="C57" t="s">
        <v>21</v>
      </c>
      <c r="D57" t="s">
        <v>20</v>
      </c>
      <c r="E57" t="s">
        <v>109</v>
      </c>
      <c r="F57" t="s">
        <v>108</v>
      </c>
      <c r="G57" t="s">
        <v>16</v>
      </c>
      <c r="H57" t="s">
        <v>17</v>
      </c>
      <c r="I57" t="s">
        <v>16</v>
      </c>
      <c r="J57" t="s">
        <v>15</v>
      </c>
      <c r="K57" t="s">
        <v>14</v>
      </c>
      <c r="L57" t="s">
        <v>13</v>
      </c>
      <c r="M57" t="s">
        <v>5</v>
      </c>
      <c r="N57" t="s">
        <v>4</v>
      </c>
      <c r="O57" t="s">
        <v>161</v>
      </c>
      <c r="P57" t="s">
        <v>160</v>
      </c>
      <c r="Q57" t="s">
        <v>10</v>
      </c>
      <c r="R57" t="s">
        <v>9</v>
      </c>
      <c r="S57" t="s">
        <v>8</v>
      </c>
      <c r="T57" t="s">
        <v>7</v>
      </c>
      <c r="U57" t="s">
        <v>3</v>
      </c>
      <c r="V57" t="s">
        <v>6</v>
      </c>
      <c r="W57">
        <v>2023</v>
      </c>
      <c r="Y57">
        <v>110.71052</v>
      </c>
      <c r="AA57" t="s">
        <v>159</v>
      </c>
      <c r="AB57" t="s">
        <v>158</v>
      </c>
      <c r="AC57">
        <v>2023</v>
      </c>
      <c r="AE57" t="s">
        <v>3</v>
      </c>
      <c r="AF57" t="s">
        <v>2</v>
      </c>
      <c r="AG57">
        <v>0</v>
      </c>
      <c r="AH57" t="s">
        <v>1</v>
      </c>
      <c r="AI57">
        <v>2</v>
      </c>
      <c r="AJ57" t="s">
        <v>0</v>
      </c>
    </row>
    <row r="58" spans="1:36" x14ac:dyDescent="0.2">
      <c r="A58" t="s">
        <v>23</v>
      </c>
      <c r="B58" t="s">
        <v>22</v>
      </c>
      <c r="C58" t="s">
        <v>21</v>
      </c>
      <c r="D58" t="s">
        <v>20</v>
      </c>
      <c r="E58" t="s">
        <v>101</v>
      </c>
      <c r="F58" t="s">
        <v>100</v>
      </c>
      <c r="G58" t="s">
        <v>16</v>
      </c>
      <c r="H58" t="s">
        <v>17</v>
      </c>
      <c r="I58" t="s">
        <v>16</v>
      </c>
      <c r="J58" t="s">
        <v>15</v>
      </c>
      <c r="K58" t="s">
        <v>14</v>
      </c>
      <c r="L58" t="s">
        <v>13</v>
      </c>
      <c r="M58" t="s">
        <v>5</v>
      </c>
      <c r="N58" t="s">
        <v>4</v>
      </c>
      <c r="O58" t="s">
        <v>161</v>
      </c>
      <c r="P58" t="s">
        <v>160</v>
      </c>
      <c r="Q58" t="s">
        <v>10</v>
      </c>
      <c r="R58" t="s">
        <v>9</v>
      </c>
      <c r="S58" t="s">
        <v>8</v>
      </c>
      <c r="T58" t="s">
        <v>7</v>
      </c>
      <c r="U58" t="s">
        <v>3</v>
      </c>
      <c r="V58" t="s">
        <v>6</v>
      </c>
      <c r="W58">
        <v>2023</v>
      </c>
      <c r="Y58">
        <v>87.920753000000005</v>
      </c>
      <c r="AA58" t="s">
        <v>159</v>
      </c>
      <c r="AB58" t="s">
        <v>158</v>
      </c>
      <c r="AC58">
        <v>2023</v>
      </c>
      <c r="AE58" t="s">
        <v>3</v>
      </c>
      <c r="AF58" t="s">
        <v>2</v>
      </c>
      <c r="AG58">
        <v>0</v>
      </c>
      <c r="AH58" t="s">
        <v>1</v>
      </c>
      <c r="AI58">
        <v>2</v>
      </c>
      <c r="AJ58" t="s">
        <v>0</v>
      </c>
    </row>
    <row r="59" spans="1:36" x14ac:dyDescent="0.2">
      <c r="A59" t="s">
        <v>23</v>
      </c>
      <c r="B59" t="s">
        <v>22</v>
      </c>
      <c r="C59" t="s">
        <v>21</v>
      </c>
      <c r="D59" t="s">
        <v>20</v>
      </c>
      <c r="E59" t="s">
        <v>99</v>
      </c>
      <c r="F59" t="s">
        <v>98</v>
      </c>
      <c r="G59" t="s">
        <v>16</v>
      </c>
      <c r="H59" t="s">
        <v>17</v>
      </c>
      <c r="I59" t="s">
        <v>16</v>
      </c>
      <c r="J59" t="s">
        <v>15</v>
      </c>
      <c r="K59" t="s">
        <v>14</v>
      </c>
      <c r="L59" t="s">
        <v>13</v>
      </c>
      <c r="M59" t="s">
        <v>5</v>
      </c>
      <c r="N59" t="s">
        <v>4</v>
      </c>
      <c r="O59" t="s">
        <v>161</v>
      </c>
      <c r="P59" t="s">
        <v>160</v>
      </c>
      <c r="Q59" t="s">
        <v>10</v>
      </c>
      <c r="R59" t="s">
        <v>9</v>
      </c>
      <c r="S59" t="s">
        <v>8</v>
      </c>
      <c r="T59" t="s">
        <v>7</v>
      </c>
      <c r="U59" t="s">
        <v>3</v>
      </c>
      <c r="V59" t="s">
        <v>6</v>
      </c>
      <c r="W59">
        <v>2023</v>
      </c>
      <c r="Y59">
        <v>62.042949999999998</v>
      </c>
      <c r="AA59" t="s">
        <v>159</v>
      </c>
      <c r="AB59" t="s">
        <v>158</v>
      </c>
      <c r="AC59">
        <v>2023</v>
      </c>
      <c r="AE59" t="s">
        <v>3</v>
      </c>
      <c r="AF59" t="s">
        <v>2</v>
      </c>
      <c r="AG59">
        <v>0</v>
      </c>
      <c r="AH59" t="s">
        <v>1</v>
      </c>
      <c r="AI59">
        <v>2</v>
      </c>
      <c r="AJ59" t="s">
        <v>0</v>
      </c>
    </row>
    <row r="60" spans="1:36" x14ac:dyDescent="0.2">
      <c r="A60" t="s">
        <v>23</v>
      </c>
      <c r="B60" t="s">
        <v>22</v>
      </c>
      <c r="C60" t="s">
        <v>21</v>
      </c>
      <c r="D60" t="s">
        <v>20</v>
      </c>
      <c r="E60" t="s">
        <v>97</v>
      </c>
      <c r="F60" t="s">
        <v>96</v>
      </c>
      <c r="G60" t="s">
        <v>16</v>
      </c>
      <c r="H60" t="s">
        <v>17</v>
      </c>
      <c r="I60" t="s">
        <v>16</v>
      </c>
      <c r="J60" t="s">
        <v>15</v>
      </c>
      <c r="K60" t="s">
        <v>14</v>
      </c>
      <c r="L60" t="s">
        <v>13</v>
      </c>
      <c r="M60" t="s">
        <v>5</v>
      </c>
      <c r="N60" t="s">
        <v>4</v>
      </c>
      <c r="O60" t="s">
        <v>161</v>
      </c>
      <c r="P60" t="s">
        <v>160</v>
      </c>
      <c r="Q60" t="s">
        <v>10</v>
      </c>
      <c r="R60" t="s">
        <v>9</v>
      </c>
      <c r="S60" t="s">
        <v>8</v>
      </c>
      <c r="T60" t="s">
        <v>7</v>
      </c>
      <c r="U60" t="s">
        <v>3</v>
      </c>
      <c r="V60" t="s">
        <v>6</v>
      </c>
      <c r="W60">
        <v>2023</v>
      </c>
      <c r="Y60">
        <v>88.713988999999998</v>
      </c>
      <c r="AA60" t="s">
        <v>159</v>
      </c>
      <c r="AB60" t="s">
        <v>158</v>
      </c>
      <c r="AC60">
        <v>2023</v>
      </c>
      <c r="AE60" t="s">
        <v>3</v>
      </c>
      <c r="AF60" t="s">
        <v>2</v>
      </c>
      <c r="AG60">
        <v>0</v>
      </c>
      <c r="AH60" t="s">
        <v>1</v>
      </c>
      <c r="AI60">
        <v>2</v>
      </c>
      <c r="AJ60" t="s">
        <v>0</v>
      </c>
    </row>
    <row r="61" spans="1:36" x14ac:dyDescent="0.2">
      <c r="A61" t="s">
        <v>23</v>
      </c>
      <c r="B61" t="s">
        <v>22</v>
      </c>
      <c r="C61" t="s">
        <v>21</v>
      </c>
      <c r="D61" t="s">
        <v>20</v>
      </c>
      <c r="E61" t="s">
        <v>95</v>
      </c>
      <c r="F61" t="s">
        <v>94</v>
      </c>
      <c r="G61" t="s">
        <v>16</v>
      </c>
      <c r="H61" t="s">
        <v>17</v>
      </c>
      <c r="I61" t="s">
        <v>16</v>
      </c>
      <c r="J61" t="s">
        <v>15</v>
      </c>
      <c r="K61" t="s">
        <v>14</v>
      </c>
      <c r="L61" t="s">
        <v>13</v>
      </c>
      <c r="M61" t="s">
        <v>5</v>
      </c>
      <c r="N61" t="s">
        <v>4</v>
      </c>
      <c r="O61" t="s">
        <v>161</v>
      </c>
      <c r="P61" t="s">
        <v>160</v>
      </c>
      <c r="Q61" t="s">
        <v>10</v>
      </c>
      <c r="R61" t="s">
        <v>9</v>
      </c>
      <c r="S61" t="s">
        <v>8</v>
      </c>
      <c r="T61" t="s">
        <v>7</v>
      </c>
      <c r="U61" t="s">
        <v>3</v>
      </c>
      <c r="V61" t="s">
        <v>6</v>
      </c>
      <c r="W61">
        <v>2023</v>
      </c>
      <c r="Y61">
        <v>67.718468000000001</v>
      </c>
      <c r="AA61" t="s">
        <v>159</v>
      </c>
      <c r="AB61" t="s">
        <v>158</v>
      </c>
      <c r="AC61">
        <v>2023</v>
      </c>
      <c r="AE61" t="s">
        <v>3</v>
      </c>
      <c r="AF61" t="s">
        <v>2</v>
      </c>
      <c r="AG61">
        <v>0</v>
      </c>
      <c r="AH61" t="s">
        <v>1</v>
      </c>
      <c r="AI61">
        <v>2</v>
      </c>
      <c r="AJ61" t="s">
        <v>0</v>
      </c>
    </row>
    <row r="62" spans="1:36" x14ac:dyDescent="0.2">
      <c r="A62" t="s">
        <v>23</v>
      </c>
      <c r="B62" t="s">
        <v>22</v>
      </c>
      <c r="C62" t="s">
        <v>21</v>
      </c>
      <c r="D62" t="s">
        <v>20</v>
      </c>
      <c r="E62" t="s">
        <v>73</v>
      </c>
      <c r="F62" t="s">
        <v>72</v>
      </c>
      <c r="G62" t="s">
        <v>16</v>
      </c>
      <c r="H62" t="s">
        <v>17</v>
      </c>
      <c r="I62" t="s">
        <v>16</v>
      </c>
      <c r="J62" t="s">
        <v>15</v>
      </c>
      <c r="K62" t="s">
        <v>14</v>
      </c>
      <c r="L62" t="s">
        <v>13</v>
      </c>
      <c r="M62" t="s">
        <v>5</v>
      </c>
      <c r="N62" t="s">
        <v>4</v>
      </c>
      <c r="O62" t="s">
        <v>161</v>
      </c>
      <c r="P62" t="s">
        <v>160</v>
      </c>
      <c r="Q62" t="s">
        <v>10</v>
      </c>
      <c r="R62" t="s">
        <v>9</v>
      </c>
      <c r="S62" t="s">
        <v>8</v>
      </c>
      <c r="T62" t="s">
        <v>7</v>
      </c>
      <c r="U62" t="s">
        <v>3</v>
      </c>
      <c r="V62" t="s">
        <v>6</v>
      </c>
      <c r="W62">
        <v>2023</v>
      </c>
      <c r="Y62">
        <v>69.537514000000002</v>
      </c>
      <c r="AA62" t="s">
        <v>159</v>
      </c>
      <c r="AB62" t="s">
        <v>158</v>
      </c>
      <c r="AC62">
        <v>2023</v>
      </c>
      <c r="AE62" t="s">
        <v>3</v>
      </c>
      <c r="AF62" t="s">
        <v>2</v>
      </c>
      <c r="AG62">
        <v>0</v>
      </c>
      <c r="AH62" t="s">
        <v>1</v>
      </c>
      <c r="AI62">
        <v>2</v>
      </c>
      <c r="AJ62" t="s">
        <v>0</v>
      </c>
    </row>
    <row r="63" spans="1:36" x14ac:dyDescent="0.2">
      <c r="A63" t="s">
        <v>23</v>
      </c>
      <c r="B63" t="s">
        <v>22</v>
      </c>
      <c r="C63" t="s">
        <v>21</v>
      </c>
      <c r="D63" t="s">
        <v>20</v>
      </c>
      <c r="E63" t="s">
        <v>71</v>
      </c>
      <c r="F63" t="s">
        <v>70</v>
      </c>
      <c r="G63" t="s">
        <v>16</v>
      </c>
      <c r="H63" t="s">
        <v>17</v>
      </c>
      <c r="I63" t="s">
        <v>16</v>
      </c>
      <c r="J63" t="s">
        <v>15</v>
      </c>
      <c r="K63" t="s">
        <v>14</v>
      </c>
      <c r="L63" t="s">
        <v>13</v>
      </c>
      <c r="M63" t="s">
        <v>5</v>
      </c>
      <c r="N63" t="s">
        <v>4</v>
      </c>
      <c r="O63" t="s">
        <v>161</v>
      </c>
      <c r="P63" t="s">
        <v>160</v>
      </c>
      <c r="Q63" t="s">
        <v>10</v>
      </c>
      <c r="R63" t="s">
        <v>9</v>
      </c>
      <c r="S63" t="s">
        <v>8</v>
      </c>
      <c r="T63" t="s">
        <v>7</v>
      </c>
      <c r="U63" t="s">
        <v>3</v>
      </c>
      <c r="V63" t="s">
        <v>6</v>
      </c>
      <c r="W63">
        <v>2023</v>
      </c>
      <c r="Y63">
        <v>81.570091000000005</v>
      </c>
      <c r="AA63" t="s">
        <v>159</v>
      </c>
      <c r="AB63" t="s">
        <v>158</v>
      </c>
      <c r="AC63">
        <v>2023</v>
      </c>
      <c r="AE63" t="s">
        <v>3</v>
      </c>
      <c r="AF63" t="s">
        <v>2</v>
      </c>
      <c r="AG63">
        <v>0</v>
      </c>
      <c r="AH63" t="s">
        <v>1</v>
      </c>
      <c r="AI63">
        <v>2</v>
      </c>
      <c r="AJ63" t="s">
        <v>0</v>
      </c>
    </row>
    <row r="64" spans="1:36" x14ac:dyDescent="0.2">
      <c r="A64" t="s">
        <v>23</v>
      </c>
      <c r="B64" t="s">
        <v>22</v>
      </c>
      <c r="C64" t="s">
        <v>21</v>
      </c>
      <c r="D64" t="s">
        <v>20</v>
      </c>
      <c r="E64" t="s">
        <v>55</v>
      </c>
      <c r="F64" t="s">
        <v>54</v>
      </c>
      <c r="G64" t="s">
        <v>16</v>
      </c>
      <c r="H64" t="s">
        <v>17</v>
      </c>
      <c r="I64" t="s">
        <v>16</v>
      </c>
      <c r="J64" t="s">
        <v>15</v>
      </c>
      <c r="K64" t="s">
        <v>14</v>
      </c>
      <c r="L64" t="s">
        <v>13</v>
      </c>
      <c r="M64" t="s">
        <v>5</v>
      </c>
      <c r="N64" t="s">
        <v>4</v>
      </c>
      <c r="O64" t="s">
        <v>161</v>
      </c>
      <c r="P64" t="s">
        <v>160</v>
      </c>
      <c r="Q64" t="s">
        <v>10</v>
      </c>
      <c r="R64" t="s">
        <v>9</v>
      </c>
      <c r="S64" t="s">
        <v>8</v>
      </c>
      <c r="T64" t="s">
        <v>7</v>
      </c>
      <c r="U64" t="s">
        <v>3</v>
      </c>
      <c r="V64" t="s">
        <v>6</v>
      </c>
      <c r="W64">
        <v>2023</v>
      </c>
      <c r="Y64">
        <v>86.295029</v>
      </c>
      <c r="AA64" t="s">
        <v>159</v>
      </c>
      <c r="AB64" t="s">
        <v>158</v>
      </c>
      <c r="AC64">
        <v>2023</v>
      </c>
      <c r="AE64" t="s">
        <v>3</v>
      </c>
      <c r="AF64" t="s">
        <v>2</v>
      </c>
      <c r="AG64">
        <v>0</v>
      </c>
      <c r="AH64" t="s">
        <v>1</v>
      </c>
      <c r="AI64">
        <v>2</v>
      </c>
      <c r="AJ64" t="s">
        <v>0</v>
      </c>
    </row>
    <row r="65" spans="1:36" x14ac:dyDescent="0.2">
      <c r="A65" t="s">
        <v>23</v>
      </c>
      <c r="B65" t="s">
        <v>22</v>
      </c>
      <c r="C65" t="s">
        <v>21</v>
      </c>
      <c r="D65" t="s">
        <v>20</v>
      </c>
      <c r="E65" t="s">
        <v>157</v>
      </c>
      <c r="F65" t="s">
        <v>156</v>
      </c>
      <c r="G65" t="s">
        <v>16</v>
      </c>
      <c r="H65" t="s">
        <v>17</v>
      </c>
      <c r="I65" t="s">
        <v>16</v>
      </c>
      <c r="J65" t="s">
        <v>15</v>
      </c>
      <c r="K65" t="s">
        <v>14</v>
      </c>
      <c r="L65" t="s">
        <v>13</v>
      </c>
      <c r="M65" t="s">
        <v>5</v>
      </c>
      <c r="N65" t="s">
        <v>4</v>
      </c>
      <c r="O65" t="s">
        <v>12</v>
      </c>
      <c r="P65" t="s">
        <v>11</v>
      </c>
      <c r="Q65" t="s">
        <v>10</v>
      </c>
      <c r="R65" t="s">
        <v>9</v>
      </c>
      <c r="S65" t="s">
        <v>8</v>
      </c>
      <c r="T65" t="s">
        <v>7</v>
      </c>
      <c r="U65" t="s">
        <v>3</v>
      </c>
      <c r="V65" t="s">
        <v>6</v>
      </c>
      <c r="W65">
        <v>2023</v>
      </c>
      <c r="Y65">
        <v>20.383237999999999</v>
      </c>
      <c r="AA65" t="s">
        <v>5</v>
      </c>
      <c r="AB65" t="s">
        <v>4</v>
      </c>
      <c r="AC65">
        <v>2023</v>
      </c>
      <c r="AE65" t="s">
        <v>3</v>
      </c>
      <c r="AF65" t="s">
        <v>2</v>
      </c>
      <c r="AG65">
        <v>0</v>
      </c>
      <c r="AH65" t="s">
        <v>1</v>
      </c>
      <c r="AI65">
        <v>2</v>
      </c>
      <c r="AJ65" t="s">
        <v>0</v>
      </c>
    </row>
    <row r="66" spans="1:36" x14ac:dyDescent="0.2">
      <c r="A66" t="s">
        <v>23</v>
      </c>
      <c r="B66" t="s">
        <v>22</v>
      </c>
      <c r="C66" t="s">
        <v>21</v>
      </c>
      <c r="D66" t="s">
        <v>20</v>
      </c>
      <c r="E66" t="s">
        <v>155</v>
      </c>
      <c r="F66" t="s">
        <v>154</v>
      </c>
      <c r="G66" t="s">
        <v>16</v>
      </c>
      <c r="H66" t="s">
        <v>17</v>
      </c>
      <c r="I66" t="s">
        <v>16</v>
      </c>
      <c r="J66" t="s">
        <v>15</v>
      </c>
      <c r="K66" t="s">
        <v>14</v>
      </c>
      <c r="L66" t="s">
        <v>13</v>
      </c>
      <c r="M66" t="s">
        <v>5</v>
      </c>
      <c r="N66" t="s">
        <v>4</v>
      </c>
      <c r="O66" t="s">
        <v>12</v>
      </c>
      <c r="P66" t="s">
        <v>11</v>
      </c>
      <c r="Q66" t="s">
        <v>10</v>
      </c>
      <c r="R66" t="s">
        <v>9</v>
      </c>
      <c r="S66" t="s">
        <v>8</v>
      </c>
      <c r="T66" t="s">
        <v>7</v>
      </c>
      <c r="U66" t="s">
        <v>3</v>
      </c>
      <c r="V66" t="s">
        <v>6</v>
      </c>
      <c r="W66">
        <v>2023</v>
      </c>
      <c r="Y66">
        <v>85.875618000000003</v>
      </c>
      <c r="AA66" t="s">
        <v>5</v>
      </c>
      <c r="AB66" t="s">
        <v>4</v>
      </c>
      <c r="AC66">
        <v>2023</v>
      </c>
      <c r="AE66" t="s">
        <v>3</v>
      </c>
      <c r="AF66" t="s">
        <v>2</v>
      </c>
      <c r="AG66">
        <v>0</v>
      </c>
      <c r="AH66" t="s">
        <v>1</v>
      </c>
      <c r="AI66">
        <v>2</v>
      </c>
      <c r="AJ66" t="s">
        <v>0</v>
      </c>
    </row>
    <row r="67" spans="1:36" x14ac:dyDescent="0.2">
      <c r="A67" t="s">
        <v>23</v>
      </c>
      <c r="B67" t="s">
        <v>22</v>
      </c>
      <c r="C67" t="s">
        <v>21</v>
      </c>
      <c r="D67" t="s">
        <v>20</v>
      </c>
      <c r="E67" t="s">
        <v>153</v>
      </c>
      <c r="F67" t="s">
        <v>152</v>
      </c>
      <c r="G67" t="s">
        <v>16</v>
      </c>
      <c r="H67" t="s">
        <v>17</v>
      </c>
      <c r="I67" t="s">
        <v>16</v>
      </c>
      <c r="J67" t="s">
        <v>15</v>
      </c>
      <c r="K67" t="s">
        <v>14</v>
      </c>
      <c r="L67" t="s">
        <v>13</v>
      </c>
      <c r="M67" t="s">
        <v>5</v>
      </c>
      <c r="N67" t="s">
        <v>4</v>
      </c>
      <c r="O67" t="s">
        <v>12</v>
      </c>
      <c r="P67" t="s">
        <v>11</v>
      </c>
      <c r="Q67" t="s">
        <v>10</v>
      </c>
      <c r="R67" t="s">
        <v>9</v>
      </c>
      <c r="S67" t="s">
        <v>8</v>
      </c>
      <c r="T67" t="s">
        <v>7</v>
      </c>
      <c r="U67" t="s">
        <v>3</v>
      </c>
      <c r="V67" t="s">
        <v>6</v>
      </c>
      <c r="W67">
        <v>2023</v>
      </c>
      <c r="Y67">
        <v>82.957511999999994</v>
      </c>
      <c r="AA67" t="s">
        <v>5</v>
      </c>
      <c r="AB67" t="s">
        <v>4</v>
      </c>
      <c r="AC67">
        <v>2023</v>
      </c>
      <c r="AE67" t="s">
        <v>3</v>
      </c>
      <c r="AF67" t="s">
        <v>2</v>
      </c>
      <c r="AG67">
        <v>0</v>
      </c>
      <c r="AH67" t="s">
        <v>1</v>
      </c>
      <c r="AI67">
        <v>2</v>
      </c>
      <c r="AJ67" t="s">
        <v>0</v>
      </c>
    </row>
    <row r="68" spans="1:36" x14ac:dyDescent="0.2">
      <c r="A68" t="s">
        <v>23</v>
      </c>
      <c r="B68" t="s">
        <v>22</v>
      </c>
      <c r="C68" t="s">
        <v>21</v>
      </c>
      <c r="D68" t="s">
        <v>20</v>
      </c>
      <c r="E68" t="s">
        <v>151</v>
      </c>
      <c r="F68" t="s">
        <v>150</v>
      </c>
      <c r="G68" t="s">
        <v>16</v>
      </c>
      <c r="H68" t="s">
        <v>17</v>
      </c>
      <c r="I68" t="s">
        <v>16</v>
      </c>
      <c r="J68" t="s">
        <v>15</v>
      </c>
      <c r="K68" t="s">
        <v>14</v>
      </c>
      <c r="L68" t="s">
        <v>13</v>
      </c>
      <c r="M68" t="s">
        <v>5</v>
      </c>
      <c r="N68" t="s">
        <v>4</v>
      </c>
      <c r="O68" t="s">
        <v>12</v>
      </c>
      <c r="P68" t="s">
        <v>11</v>
      </c>
      <c r="Q68" t="s">
        <v>10</v>
      </c>
      <c r="R68" t="s">
        <v>9</v>
      </c>
      <c r="S68" t="s">
        <v>8</v>
      </c>
      <c r="T68" t="s">
        <v>7</v>
      </c>
      <c r="U68" t="s">
        <v>3</v>
      </c>
      <c r="V68" t="s">
        <v>6</v>
      </c>
      <c r="W68">
        <v>2023</v>
      </c>
      <c r="Y68">
        <v>42.176654999999997</v>
      </c>
      <c r="AA68" t="s">
        <v>5</v>
      </c>
      <c r="AB68" t="s">
        <v>4</v>
      </c>
      <c r="AC68">
        <v>2023</v>
      </c>
      <c r="AE68" t="s">
        <v>3</v>
      </c>
      <c r="AF68" t="s">
        <v>2</v>
      </c>
      <c r="AG68">
        <v>0</v>
      </c>
      <c r="AH68" t="s">
        <v>1</v>
      </c>
      <c r="AI68">
        <v>2</v>
      </c>
      <c r="AJ68" t="s">
        <v>0</v>
      </c>
    </row>
    <row r="69" spans="1:36" x14ac:dyDescent="0.2">
      <c r="A69" t="s">
        <v>23</v>
      </c>
      <c r="B69" t="s">
        <v>22</v>
      </c>
      <c r="C69" t="s">
        <v>21</v>
      </c>
      <c r="D69" t="s">
        <v>20</v>
      </c>
      <c r="E69" t="s">
        <v>149</v>
      </c>
      <c r="F69" t="s">
        <v>148</v>
      </c>
      <c r="G69" t="s">
        <v>16</v>
      </c>
      <c r="H69" t="s">
        <v>17</v>
      </c>
      <c r="I69" t="s">
        <v>16</v>
      </c>
      <c r="J69" t="s">
        <v>15</v>
      </c>
      <c r="K69" t="s">
        <v>14</v>
      </c>
      <c r="L69" t="s">
        <v>13</v>
      </c>
      <c r="M69" t="s">
        <v>5</v>
      </c>
      <c r="N69" t="s">
        <v>4</v>
      </c>
      <c r="O69" t="s">
        <v>12</v>
      </c>
      <c r="P69" t="s">
        <v>11</v>
      </c>
      <c r="Q69" t="s">
        <v>10</v>
      </c>
      <c r="R69" t="s">
        <v>9</v>
      </c>
      <c r="S69" t="s">
        <v>8</v>
      </c>
      <c r="T69" t="s">
        <v>7</v>
      </c>
      <c r="U69" t="s">
        <v>3</v>
      </c>
      <c r="V69" t="s">
        <v>6</v>
      </c>
      <c r="W69">
        <v>2023</v>
      </c>
      <c r="Y69">
        <v>36.768517000000003</v>
      </c>
      <c r="AA69" t="s">
        <v>5</v>
      </c>
      <c r="AB69" t="s">
        <v>4</v>
      </c>
      <c r="AC69">
        <v>2023</v>
      </c>
      <c r="AE69" t="s">
        <v>3</v>
      </c>
      <c r="AF69" t="s">
        <v>2</v>
      </c>
      <c r="AG69">
        <v>0</v>
      </c>
      <c r="AH69" t="s">
        <v>1</v>
      </c>
      <c r="AI69">
        <v>2</v>
      </c>
      <c r="AJ69" t="s">
        <v>0</v>
      </c>
    </row>
    <row r="70" spans="1:36" x14ac:dyDescent="0.2">
      <c r="A70" t="s">
        <v>23</v>
      </c>
      <c r="B70" t="s">
        <v>22</v>
      </c>
      <c r="C70" t="s">
        <v>21</v>
      </c>
      <c r="D70" t="s">
        <v>20</v>
      </c>
      <c r="E70" t="s">
        <v>147</v>
      </c>
      <c r="F70" t="s">
        <v>146</v>
      </c>
      <c r="G70" t="s">
        <v>16</v>
      </c>
      <c r="H70" t="s">
        <v>17</v>
      </c>
      <c r="I70" t="s">
        <v>16</v>
      </c>
      <c r="J70" t="s">
        <v>15</v>
      </c>
      <c r="K70" t="s">
        <v>14</v>
      </c>
      <c r="L70" t="s">
        <v>13</v>
      </c>
      <c r="M70" t="s">
        <v>5</v>
      </c>
      <c r="N70" t="s">
        <v>4</v>
      </c>
      <c r="O70" t="s">
        <v>12</v>
      </c>
      <c r="P70" t="s">
        <v>11</v>
      </c>
      <c r="Q70" t="s">
        <v>10</v>
      </c>
      <c r="R70" t="s">
        <v>9</v>
      </c>
      <c r="S70" t="s">
        <v>8</v>
      </c>
      <c r="T70" t="s">
        <v>7</v>
      </c>
      <c r="U70" t="s">
        <v>3</v>
      </c>
      <c r="V70" t="s">
        <v>6</v>
      </c>
      <c r="W70">
        <v>2023</v>
      </c>
      <c r="Y70">
        <v>67.432190000000006</v>
      </c>
      <c r="AA70" t="s">
        <v>5</v>
      </c>
      <c r="AB70" t="s">
        <v>4</v>
      </c>
      <c r="AC70">
        <v>2023</v>
      </c>
      <c r="AE70" t="s">
        <v>3</v>
      </c>
      <c r="AF70" t="s">
        <v>2</v>
      </c>
      <c r="AG70">
        <v>0</v>
      </c>
      <c r="AH70" t="s">
        <v>1</v>
      </c>
      <c r="AI70">
        <v>2</v>
      </c>
      <c r="AJ70" t="s">
        <v>0</v>
      </c>
    </row>
    <row r="71" spans="1:36" x14ac:dyDescent="0.2">
      <c r="A71" t="s">
        <v>23</v>
      </c>
      <c r="B71" t="s">
        <v>22</v>
      </c>
      <c r="C71" t="s">
        <v>21</v>
      </c>
      <c r="D71" t="s">
        <v>20</v>
      </c>
      <c r="E71" t="s">
        <v>145</v>
      </c>
      <c r="F71" t="s">
        <v>144</v>
      </c>
      <c r="G71" t="s">
        <v>16</v>
      </c>
      <c r="H71" t="s">
        <v>17</v>
      </c>
      <c r="I71" t="s">
        <v>16</v>
      </c>
      <c r="J71" t="s">
        <v>15</v>
      </c>
      <c r="K71" t="s">
        <v>14</v>
      </c>
      <c r="L71" t="s">
        <v>13</v>
      </c>
      <c r="M71" t="s">
        <v>5</v>
      </c>
      <c r="N71" t="s">
        <v>4</v>
      </c>
      <c r="O71" t="s">
        <v>12</v>
      </c>
      <c r="P71" t="s">
        <v>11</v>
      </c>
      <c r="Q71" t="s">
        <v>10</v>
      </c>
      <c r="R71" t="s">
        <v>9</v>
      </c>
      <c r="S71" t="s">
        <v>8</v>
      </c>
      <c r="T71" t="s">
        <v>7</v>
      </c>
      <c r="U71" t="s">
        <v>3</v>
      </c>
      <c r="V71" t="s">
        <v>6</v>
      </c>
      <c r="W71">
        <v>2023</v>
      </c>
      <c r="Y71">
        <v>68.082481000000001</v>
      </c>
      <c r="AA71" t="s">
        <v>5</v>
      </c>
      <c r="AB71" t="s">
        <v>4</v>
      </c>
      <c r="AC71">
        <v>2023</v>
      </c>
      <c r="AE71" t="s">
        <v>3</v>
      </c>
      <c r="AF71" t="s">
        <v>2</v>
      </c>
      <c r="AG71">
        <v>0</v>
      </c>
      <c r="AH71" t="s">
        <v>1</v>
      </c>
      <c r="AI71">
        <v>2</v>
      </c>
      <c r="AJ71" t="s">
        <v>0</v>
      </c>
    </row>
    <row r="72" spans="1:36" x14ac:dyDescent="0.2">
      <c r="A72" t="s">
        <v>23</v>
      </c>
      <c r="B72" t="s">
        <v>22</v>
      </c>
      <c r="C72" t="s">
        <v>21</v>
      </c>
      <c r="D72" t="s">
        <v>20</v>
      </c>
      <c r="E72" t="s">
        <v>143</v>
      </c>
      <c r="F72" t="s">
        <v>142</v>
      </c>
      <c r="G72" t="s">
        <v>16</v>
      </c>
      <c r="H72" t="s">
        <v>17</v>
      </c>
      <c r="I72" t="s">
        <v>16</v>
      </c>
      <c r="J72" t="s">
        <v>15</v>
      </c>
      <c r="K72" t="s">
        <v>14</v>
      </c>
      <c r="L72" t="s">
        <v>13</v>
      </c>
      <c r="M72" t="s">
        <v>5</v>
      </c>
      <c r="N72" t="s">
        <v>4</v>
      </c>
      <c r="O72" t="s">
        <v>12</v>
      </c>
      <c r="P72" t="s">
        <v>11</v>
      </c>
      <c r="Q72" t="s">
        <v>10</v>
      </c>
      <c r="R72" t="s">
        <v>9</v>
      </c>
      <c r="S72" t="s">
        <v>8</v>
      </c>
      <c r="T72" t="s">
        <v>7</v>
      </c>
      <c r="U72" t="s">
        <v>3</v>
      </c>
      <c r="V72" t="s">
        <v>6</v>
      </c>
      <c r="W72">
        <v>2023</v>
      </c>
      <c r="Y72">
        <v>108.14118000000001</v>
      </c>
      <c r="AA72" t="s">
        <v>5</v>
      </c>
      <c r="AB72" t="s">
        <v>4</v>
      </c>
      <c r="AC72">
        <v>2023</v>
      </c>
      <c r="AE72" t="s">
        <v>3</v>
      </c>
      <c r="AF72" t="s">
        <v>2</v>
      </c>
      <c r="AG72">
        <v>0</v>
      </c>
      <c r="AH72" t="s">
        <v>1</v>
      </c>
      <c r="AI72">
        <v>2</v>
      </c>
      <c r="AJ72" t="s">
        <v>0</v>
      </c>
    </row>
    <row r="73" spans="1:36" x14ac:dyDescent="0.2">
      <c r="A73" t="s">
        <v>23</v>
      </c>
      <c r="B73" t="s">
        <v>22</v>
      </c>
      <c r="C73" t="s">
        <v>21</v>
      </c>
      <c r="D73" t="s">
        <v>20</v>
      </c>
      <c r="E73" t="s">
        <v>141</v>
      </c>
      <c r="F73" t="s">
        <v>140</v>
      </c>
      <c r="G73" t="s">
        <v>16</v>
      </c>
      <c r="H73" t="s">
        <v>17</v>
      </c>
      <c r="I73" t="s">
        <v>16</v>
      </c>
      <c r="J73" t="s">
        <v>15</v>
      </c>
      <c r="K73" t="s">
        <v>14</v>
      </c>
      <c r="L73" t="s">
        <v>13</v>
      </c>
      <c r="M73" t="s">
        <v>5</v>
      </c>
      <c r="N73" t="s">
        <v>4</v>
      </c>
      <c r="O73" t="s">
        <v>12</v>
      </c>
      <c r="P73" t="s">
        <v>11</v>
      </c>
      <c r="Q73" t="s">
        <v>10</v>
      </c>
      <c r="R73" t="s">
        <v>9</v>
      </c>
      <c r="S73" t="s">
        <v>8</v>
      </c>
      <c r="T73" t="s">
        <v>7</v>
      </c>
      <c r="U73" t="s">
        <v>3</v>
      </c>
      <c r="V73" t="s">
        <v>6</v>
      </c>
      <c r="W73">
        <v>2023</v>
      </c>
      <c r="Y73">
        <v>80.378997999999996</v>
      </c>
      <c r="AA73" t="s">
        <v>5</v>
      </c>
      <c r="AB73" t="s">
        <v>4</v>
      </c>
      <c r="AC73">
        <v>2023</v>
      </c>
      <c r="AE73" t="s">
        <v>3</v>
      </c>
      <c r="AF73" t="s">
        <v>2</v>
      </c>
      <c r="AG73">
        <v>0</v>
      </c>
      <c r="AH73" t="s">
        <v>1</v>
      </c>
      <c r="AI73">
        <v>2</v>
      </c>
      <c r="AJ73" t="s">
        <v>0</v>
      </c>
    </row>
    <row r="74" spans="1:36" x14ac:dyDescent="0.2">
      <c r="A74" t="s">
        <v>23</v>
      </c>
      <c r="B74" t="s">
        <v>22</v>
      </c>
      <c r="C74" t="s">
        <v>21</v>
      </c>
      <c r="D74" t="s">
        <v>20</v>
      </c>
      <c r="E74" t="s">
        <v>139</v>
      </c>
      <c r="F74" t="s">
        <v>138</v>
      </c>
      <c r="G74" t="s">
        <v>16</v>
      </c>
      <c r="H74" t="s">
        <v>17</v>
      </c>
      <c r="I74" t="s">
        <v>16</v>
      </c>
      <c r="J74" t="s">
        <v>15</v>
      </c>
      <c r="K74" t="s">
        <v>14</v>
      </c>
      <c r="L74" t="s">
        <v>13</v>
      </c>
      <c r="M74" t="s">
        <v>5</v>
      </c>
      <c r="N74" t="s">
        <v>4</v>
      </c>
      <c r="O74" t="s">
        <v>12</v>
      </c>
      <c r="P74" t="s">
        <v>11</v>
      </c>
      <c r="Q74" t="s">
        <v>10</v>
      </c>
      <c r="R74" t="s">
        <v>9</v>
      </c>
      <c r="S74" t="s">
        <v>8</v>
      </c>
      <c r="T74" t="s">
        <v>7</v>
      </c>
      <c r="U74" t="s">
        <v>3</v>
      </c>
      <c r="V74" t="s">
        <v>6</v>
      </c>
      <c r="W74">
        <v>2023</v>
      </c>
      <c r="Y74">
        <v>101.84974</v>
      </c>
      <c r="AA74" t="s">
        <v>5</v>
      </c>
      <c r="AB74" t="s">
        <v>4</v>
      </c>
      <c r="AC74">
        <v>2023</v>
      </c>
      <c r="AE74" t="s">
        <v>3</v>
      </c>
      <c r="AF74" t="s">
        <v>2</v>
      </c>
      <c r="AG74">
        <v>0</v>
      </c>
      <c r="AH74" t="s">
        <v>1</v>
      </c>
      <c r="AI74">
        <v>2</v>
      </c>
      <c r="AJ74" t="s">
        <v>0</v>
      </c>
    </row>
    <row r="75" spans="1:36" x14ac:dyDescent="0.2">
      <c r="A75" t="s">
        <v>23</v>
      </c>
      <c r="B75" t="s">
        <v>22</v>
      </c>
      <c r="C75" t="s">
        <v>21</v>
      </c>
      <c r="D75" t="s">
        <v>20</v>
      </c>
      <c r="E75" t="s">
        <v>137</v>
      </c>
      <c r="F75" t="s">
        <v>136</v>
      </c>
      <c r="G75" t="s">
        <v>16</v>
      </c>
      <c r="H75" t="s">
        <v>17</v>
      </c>
      <c r="I75" t="s">
        <v>16</v>
      </c>
      <c r="J75" t="s">
        <v>15</v>
      </c>
      <c r="K75" t="s">
        <v>14</v>
      </c>
      <c r="L75" t="s">
        <v>13</v>
      </c>
      <c r="M75" t="s">
        <v>5</v>
      </c>
      <c r="N75" t="s">
        <v>4</v>
      </c>
      <c r="O75" t="s">
        <v>12</v>
      </c>
      <c r="P75" t="s">
        <v>11</v>
      </c>
      <c r="Q75" t="s">
        <v>10</v>
      </c>
      <c r="R75" t="s">
        <v>9</v>
      </c>
      <c r="S75" t="s">
        <v>8</v>
      </c>
      <c r="T75" t="s">
        <v>7</v>
      </c>
      <c r="U75" t="s">
        <v>3</v>
      </c>
      <c r="V75" t="s">
        <v>6</v>
      </c>
      <c r="W75">
        <v>2023</v>
      </c>
      <c r="Y75">
        <v>47.142189000000002</v>
      </c>
      <c r="AA75" t="s">
        <v>5</v>
      </c>
      <c r="AB75" t="s">
        <v>4</v>
      </c>
      <c r="AC75">
        <v>2023</v>
      </c>
      <c r="AE75" t="s">
        <v>3</v>
      </c>
      <c r="AF75" t="s">
        <v>2</v>
      </c>
      <c r="AG75">
        <v>0</v>
      </c>
      <c r="AH75" t="s">
        <v>1</v>
      </c>
      <c r="AI75">
        <v>2</v>
      </c>
      <c r="AJ75" t="s">
        <v>0</v>
      </c>
    </row>
    <row r="76" spans="1:36" x14ac:dyDescent="0.2">
      <c r="A76" t="s">
        <v>23</v>
      </c>
      <c r="B76" t="s">
        <v>22</v>
      </c>
      <c r="C76" t="s">
        <v>21</v>
      </c>
      <c r="D76" t="s">
        <v>20</v>
      </c>
      <c r="E76" t="s">
        <v>135</v>
      </c>
      <c r="F76" t="s">
        <v>134</v>
      </c>
      <c r="G76" t="s">
        <v>16</v>
      </c>
      <c r="H76" t="s">
        <v>17</v>
      </c>
      <c r="I76" t="s">
        <v>16</v>
      </c>
      <c r="J76" t="s">
        <v>15</v>
      </c>
      <c r="K76" t="s">
        <v>14</v>
      </c>
      <c r="L76" t="s">
        <v>13</v>
      </c>
      <c r="M76" t="s">
        <v>5</v>
      </c>
      <c r="N76" t="s">
        <v>4</v>
      </c>
      <c r="O76" t="s">
        <v>12</v>
      </c>
      <c r="P76" t="s">
        <v>11</v>
      </c>
      <c r="Q76" t="s">
        <v>10</v>
      </c>
      <c r="R76" t="s">
        <v>9</v>
      </c>
      <c r="S76" t="s">
        <v>8</v>
      </c>
      <c r="T76" t="s">
        <v>7</v>
      </c>
      <c r="U76" t="s">
        <v>3</v>
      </c>
      <c r="V76" t="s">
        <v>6</v>
      </c>
      <c r="W76">
        <v>2023</v>
      </c>
      <c r="Y76">
        <v>93.442047000000002</v>
      </c>
      <c r="AA76" t="s">
        <v>5</v>
      </c>
      <c r="AB76" t="s">
        <v>4</v>
      </c>
      <c r="AC76">
        <v>2023</v>
      </c>
      <c r="AE76" t="s">
        <v>3</v>
      </c>
      <c r="AF76" t="s">
        <v>2</v>
      </c>
      <c r="AG76">
        <v>0</v>
      </c>
      <c r="AH76" t="s">
        <v>1</v>
      </c>
      <c r="AI76">
        <v>2</v>
      </c>
      <c r="AJ76" t="s">
        <v>0</v>
      </c>
    </row>
    <row r="77" spans="1:36" x14ac:dyDescent="0.2">
      <c r="A77" t="s">
        <v>23</v>
      </c>
      <c r="B77" t="s">
        <v>22</v>
      </c>
      <c r="C77" t="s">
        <v>21</v>
      </c>
      <c r="D77" t="s">
        <v>20</v>
      </c>
      <c r="E77" t="s">
        <v>133</v>
      </c>
      <c r="F77" t="s">
        <v>132</v>
      </c>
      <c r="G77" t="s">
        <v>16</v>
      </c>
      <c r="H77" t="s">
        <v>17</v>
      </c>
      <c r="I77" t="s">
        <v>16</v>
      </c>
      <c r="J77" t="s">
        <v>15</v>
      </c>
      <c r="K77" t="s">
        <v>14</v>
      </c>
      <c r="L77" t="s">
        <v>13</v>
      </c>
      <c r="M77" t="s">
        <v>5</v>
      </c>
      <c r="N77" t="s">
        <v>4</v>
      </c>
      <c r="O77" t="s">
        <v>12</v>
      </c>
      <c r="P77" t="s">
        <v>11</v>
      </c>
      <c r="Q77" t="s">
        <v>10</v>
      </c>
      <c r="R77" t="s">
        <v>9</v>
      </c>
      <c r="S77" t="s">
        <v>8</v>
      </c>
      <c r="T77" t="s">
        <v>7</v>
      </c>
      <c r="U77" t="s">
        <v>3</v>
      </c>
      <c r="V77" t="s">
        <v>6</v>
      </c>
      <c r="W77">
        <v>2023</v>
      </c>
      <c r="Y77">
        <v>76.593299999999999</v>
      </c>
      <c r="AA77" t="s">
        <v>5</v>
      </c>
      <c r="AB77" t="s">
        <v>4</v>
      </c>
      <c r="AC77">
        <v>2023</v>
      </c>
      <c r="AE77" t="s">
        <v>3</v>
      </c>
      <c r="AF77" t="s">
        <v>2</v>
      </c>
      <c r="AG77">
        <v>0</v>
      </c>
      <c r="AH77" t="s">
        <v>1</v>
      </c>
      <c r="AI77">
        <v>2</v>
      </c>
      <c r="AJ77" t="s">
        <v>0</v>
      </c>
    </row>
    <row r="78" spans="1:36" x14ac:dyDescent="0.2">
      <c r="A78" t="s">
        <v>23</v>
      </c>
      <c r="B78" t="s">
        <v>22</v>
      </c>
      <c r="C78" t="s">
        <v>21</v>
      </c>
      <c r="D78" t="s">
        <v>20</v>
      </c>
      <c r="E78" t="s">
        <v>131</v>
      </c>
      <c r="F78" t="s">
        <v>130</v>
      </c>
      <c r="G78" t="s">
        <v>16</v>
      </c>
      <c r="H78" t="s">
        <v>17</v>
      </c>
      <c r="I78" t="s">
        <v>16</v>
      </c>
      <c r="J78" t="s">
        <v>15</v>
      </c>
      <c r="K78" t="s">
        <v>14</v>
      </c>
      <c r="L78" t="s">
        <v>13</v>
      </c>
      <c r="M78" t="s">
        <v>5</v>
      </c>
      <c r="N78" t="s">
        <v>4</v>
      </c>
      <c r="O78" t="s">
        <v>12</v>
      </c>
      <c r="P78" t="s">
        <v>11</v>
      </c>
      <c r="Q78" t="s">
        <v>10</v>
      </c>
      <c r="R78" t="s">
        <v>9</v>
      </c>
      <c r="S78" t="s">
        <v>8</v>
      </c>
      <c r="T78" t="s">
        <v>7</v>
      </c>
      <c r="U78" t="s">
        <v>3</v>
      </c>
      <c r="V78" t="s">
        <v>6</v>
      </c>
      <c r="W78">
        <v>2023</v>
      </c>
      <c r="Y78">
        <v>55.361725</v>
      </c>
      <c r="AA78" t="s">
        <v>5</v>
      </c>
      <c r="AB78" t="s">
        <v>4</v>
      </c>
      <c r="AC78">
        <v>2023</v>
      </c>
      <c r="AE78" t="s">
        <v>3</v>
      </c>
      <c r="AF78" t="s">
        <v>2</v>
      </c>
      <c r="AG78">
        <v>0</v>
      </c>
      <c r="AH78" t="s">
        <v>1</v>
      </c>
      <c r="AI78">
        <v>2</v>
      </c>
      <c r="AJ78" t="s">
        <v>0</v>
      </c>
    </row>
    <row r="79" spans="1:36" x14ac:dyDescent="0.2">
      <c r="A79" t="s">
        <v>23</v>
      </c>
      <c r="B79" t="s">
        <v>22</v>
      </c>
      <c r="C79" t="s">
        <v>21</v>
      </c>
      <c r="D79" t="s">
        <v>20</v>
      </c>
      <c r="E79" t="s">
        <v>129</v>
      </c>
      <c r="F79" t="s">
        <v>128</v>
      </c>
      <c r="G79" t="s">
        <v>16</v>
      </c>
      <c r="H79" t="s">
        <v>17</v>
      </c>
      <c r="I79" t="s">
        <v>16</v>
      </c>
      <c r="J79" t="s">
        <v>15</v>
      </c>
      <c r="K79" t="s">
        <v>14</v>
      </c>
      <c r="L79" t="s">
        <v>13</v>
      </c>
      <c r="M79" t="s">
        <v>5</v>
      </c>
      <c r="N79" t="s">
        <v>4</v>
      </c>
      <c r="O79" t="s">
        <v>12</v>
      </c>
      <c r="P79" t="s">
        <v>11</v>
      </c>
      <c r="Q79" t="s">
        <v>10</v>
      </c>
      <c r="R79" t="s">
        <v>9</v>
      </c>
      <c r="S79" t="s">
        <v>8</v>
      </c>
      <c r="T79" t="s">
        <v>7</v>
      </c>
      <c r="U79" t="s">
        <v>3</v>
      </c>
      <c r="V79" t="s">
        <v>6</v>
      </c>
      <c r="W79">
        <v>2023</v>
      </c>
      <c r="Y79">
        <v>96.711326999999997</v>
      </c>
      <c r="AA79" t="s">
        <v>5</v>
      </c>
      <c r="AB79" t="s">
        <v>4</v>
      </c>
      <c r="AC79">
        <v>2023</v>
      </c>
      <c r="AE79" t="s">
        <v>3</v>
      </c>
      <c r="AF79" t="s">
        <v>2</v>
      </c>
      <c r="AG79">
        <v>0</v>
      </c>
      <c r="AH79" t="s">
        <v>1</v>
      </c>
      <c r="AI79">
        <v>2</v>
      </c>
      <c r="AJ79" t="s">
        <v>0</v>
      </c>
    </row>
    <row r="80" spans="1:36" x14ac:dyDescent="0.2">
      <c r="A80" t="s">
        <v>23</v>
      </c>
      <c r="B80" t="s">
        <v>22</v>
      </c>
      <c r="C80" t="s">
        <v>21</v>
      </c>
      <c r="D80" t="s">
        <v>20</v>
      </c>
      <c r="E80" t="s">
        <v>127</v>
      </c>
      <c r="F80" t="s">
        <v>126</v>
      </c>
      <c r="G80" t="s">
        <v>16</v>
      </c>
      <c r="H80" t="s">
        <v>17</v>
      </c>
      <c r="I80" t="s">
        <v>16</v>
      </c>
      <c r="J80" t="s">
        <v>15</v>
      </c>
      <c r="K80" t="s">
        <v>14</v>
      </c>
      <c r="L80" t="s">
        <v>13</v>
      </c>
      <c r="M80" t="s">
        <v>5</v>
      </c>
      <c r="N80" t="s">
        <v>4</v>
      </c>
      <c r="O80" t="s">
        <v>12</v>
      </c>
      <c r="P80" t="s">
        <v>11</v>
      </c>
      <c r="Q80" t="s">
        <v>10</v>
      </c>
      <c r="R80" t="s">
        <v>9</v>
      </c>
      <c r="S80" t="s">
        <v>8</v>
      </c>
      <c r="T80" t="s">
        <v>7</v>
      </c>
      <c r="U80" t="s">
        <v>3</v>
      </c>
      <c r="V80" t="s">
        <v>6</v>
      </c>
      <c r="W80">
        <v>2023</v>
      </c>
      <c r="Y80">
        <v>59.683121</v>
      </c>
      <c r="AA80" t="s">
        <v>5</v>
      </c>
      <c r="AB80" t="s">
        <v>4</v>
      </c>
      <c r="AC80">
        <v>2023</v>
      </c>
      <c r="AE80" t="s">
        <v>3</v>
      </c>
      <c r="AF80" t="s">
        <v>2</v>
      </c>
      <c r="AG80">
        <v>0</v>
      </c>
      <c r="AH80" t="s">
        <v>1</v>
      </c>
      <c r="AI80">
        <v>2</v>
      </c>
      <c r="AJ80" t="s">
        <v>0</v>
      </c>
    </row>
    <row r="81" spans="1:36" x14ac:dyDescent="0.2">
      <c r="A81" t="s">
        <v>23</v>
      </c>
      <c r="B81" t="s">
        <v>22</v>
      </c>
      <c r="C81" t="s">
        <v>21</v>
      </c>
      <c r="D81" t="s">
        <v>20</v>
      </c>
      <c r="E81" t="s">
        <v>125</v>
      </c>
      <c r="F81" t="s">
        <v>124</v>
      </c>
      <c r="G81" t="s">
        <v>16</v>
      </c>
      <c r="H81" t="s">
        <v>17</v>
      </c>
      <c r="I81" t="s">
        <v>16</v>
      </c>
      <c r="J81" t="s">
        <v>15</v>
      </c>
      <c r="K81" t="s">
        <v>14</v>
      </c>
      <c r="L81" t="s">
        <v>13</v>
      </c>
      <c r="M81" t="s">
        <v>5</v>
      </c>
      <c r="N81" t="s">
        <v>4</v>
      </c>
      <c r="O81" t="s">
        <v>12</v>
      </c>
      <c r="P81" t="s">
        <v>11</v>
      </c>
      <c r="Q81" t="s">
        <v>10</v>
      </c>
      <c r="R81" t="s">
        <v>9</v>
      </c>
      <c r="S81" t="s">
        <v>8</v>
      </c>
      <c r="T81" t="s">
        <v>7</v>
      </c>
      <c r="U81" t="s">
        <v>3</v>
      </c>
      <c r="V81" t="s">
        <v>6</v>
      </c>
      <c r="W81">
        <v>2023</v>
      </c>
      <c r="Y81">
        <v>71.327499000000003</v>
      </c>
      <c r="AA81" t="s">
        <v>5</v>
      </c>
      <c r="AB81" t="s">
        <v>4</v>
      </c>
      <c r="AC81">
        <v>2023</v>
      </c>
      <c r="AE81" t="s">
        <v>3</v>
      </c>
      <c r="AF81" t="s">
        <v>2</v>
      </c>
      <c r="AG81">
        <v>0</v>
      </c>
      <c r="AH81" t="s">
        <v>1</v>
      </c>
      <c r="AI81">
        <v>2</v>
      </c>
      <c r="AJ81" t="s">
        <v>0</v>
      </c>
    </row>
    <row r="82" spans="1:36" x14ac:dyDescent="0.2">
      <c r="A82" t="s">
        <v>23</v>
      </c>
      <c r="B82" t="s">
        <v>22</v>
      </c>
      <c r="C82" t="s">
        <v>21</v>
      </c>
      <c r="D82" t="s">
        <v>20</v>
      </c>
      <c r="E82" t="s">
        <v>123</v>
      </c>
      <c r="F82" t="s">
        <v>122</v>
      </c>
      <c r="G82" t="s">
        <v>16</v>
      </c>
      <c r="H82" t="s">
        <v>17</v>
      </c>
      <c r="I82" t="s">
        <v>16</v>
      </c>
      <c r="J82" t="s">
        <v>15</v>
      </c>
      <c r="K82" t="s">
        <v>14</v>
      </c>
      <c r="L82" t="s">
        <v>13</v>
      </c>
      <c r="M82" t="s">
        <v>5</v>
      </c>
      <c r="N82" t="s">
        <v>4</v>
      </c>
      <c r="O82" t="s">
        <v>12</v>
      </c>
      <c r="P82" t="s">
        <v>11</v>
      </c>
      <c r="Q82" t="s">
        <v>10</v>
      </c>
      <c r="R82" t="s">
        <v>9</v>
      </c>
      <c r="S82" t="s">
        <v>8</v>
      </c>
      <c r="T82" t="s">
        <v>7</v>
      </c>
      <c r="U82" t="s">
        <v>3</v>
      </c>
      <c r="V82" t="s">
        <v>6</v>
      </c>
      <c r="W82">
        <v>2023</v>
      </c>
      <c r="Y82">
        <v>110.8419</v>
      </c>
      <c r="AA82" t="s">
        <v>5</v>
      </c>
      <c r="AB82" t="s">
        <v>4</v>
      </c>
      <c r="AC82">
        <v>2023</v>
      </c>
      <c r="AE82" t="s">
        <v>3</v>
      </c>
      <c r="AF82" t="s">
        <v>2</v>
      </c>
      <c r="AG82">
        <v>0</v>
      </c>
      <c r="AH82" t="s">
        <v>1</v>
      </c>
      <c r="AI82">
        <v>2</v>
      </c>
      <c r="AJ82" t="s">
        <v>0</v>
      </c>
    </row>
    <row r="83" spans="1:36" x14ac:dyDescent="0.2">
      <c r="A83" t="s">
        <v>23</v>
      </c>
      <c r="B83" t="s">
        <v>22</v>
      </c>
      <c r="C83" t="s">
        <v>21</v>
      </c>
      <c r="D83" t="s">
        <v>20</v>
      </c>
      <c r="E83" t="s">
        <v>121</v>
      </c>
      <c r="F83" t="s">
        <v>120</v>
      </c>
      <c r="G83" t="s">
        <v>16</v>
      </c>
      <c r="H83" t="s">
        <v>17</v>
      </c>
      <c r="I83" t="s">
        <v>16</v>
      </c>
      <c r="J83" t="s">
        <v>15</v>
      </c>
      <c r="K83" t="s">
        <v>14</v>
      </c>
      <c r="L83" t="s">
        <v>13</v>
      </c>
      <c r="M83" t="s">
        <v>5</v>
      </c>
      <c r="N83" t="s">
        <v>4</v>
      </c>
      <c r="O83" t="s">
        <v>12</v>
      </c>
      <c r="P83" t="s">
        <v>11</v>
      </c>
      <c r="Q83" t="s">
        <v>10</v>
      </c>
      <c r="R83" t="s">
        <v>9</v>
      </c>
      <c r="S83" t="s">
        <v>8</v>
      </c>
      <c r="T83" t="s">
        <v>7</v>
      </c>
      <c r="U83" t="s">
        <v>3</v>
      </c>
      <c r="V83" t="s">
        <v>6</v>
      </c>
      <c r="W83">
        <v>2023</v>
      </c>
      <c r="Y83">
        <v>5.7487206000000004</v>
      </c>
      <c r="AA83" t="s">
        <v>5</v>
      </c>
      <c r="AB83" t="s">
        <v>4</v>
      </c>
      <c r="AC83">
        <v>2023</v>
      </c>
      <c r="AE83" t="s">
        <v>3</v>
      </c>
      <c r="AF83" t="s">
        <v>2</v>
      </c>
      <c r="AG83">
        <v>0</v>
      </c>
      <c r="AH83" t="s">
        <v>1</v>
      </c>
      <c r="AI83">
        <v>2</v>
      </c>
      <c r="AJ83" t="s">
        <v>0</v>
      </c>
    </row>
    <row r="84" spans="1:36" x14ac:dyDescent="0.2">
      <c r="A84" t="s">
        <v>23</v>
      </c>
      <c r="B84" t="s">
        <v>22</v>
      </c>
      <c r="C84" t="s">
        <v>21</v>
      </c>
      <c r="D84" t="s">
        <v>20</v>
      </c>
      <c r="E84" t="s">
        <v>119</v>
      </c>
      <c r="F84" t="s">
        <v>118</v>
      </c>
      <c r="G84" t="s">
        <v>16</v>
      </c>
      <c r="H84" t="s">
        <v>17</v>
      </c>
      <c r="I84" t="s">
        <v>16</v>
      </c>
      <c r="J84" t="s">
        <v>15</v>
      </c>
      <c r="K84" t="s">
        <v>14</v>
      </c>
      <c r="L84" t="s">
        <v>13</v>
      </c>
      <c r="M84" t="s">
        <v>5</v>
      </c>
      <c r="N84" t="s">
        <v>4</v>
      </c>
      <c r="O84" t="s">
        <v>12</v>
      </c>
      <c r="P84" t="s">
        <v>11</v>
      </c>
      <c r="Q84" t="s">
        <v>10</v>
      </c>
      <c r="R84" t="s">
        <v>9</v>
      </c>
      <c r="S84" t="s">
        <v>8</v>
      </c>
      <c r="T84" t="s">
        <v>7</v>
      </c>
      <c r="U84" t="s">
        <v>3</v>
      </c>
      <c r="V84" t="s">
        <v>6</v>
      </c>
      <c r="W84">
        <v>2023</v>
      </c>
      <c r="Y84">
        <v>27.350366999999999</v>
      </c>
      <c r="AA84" t="s">
        <v>5</v>
      </c>
      <c r="AB84" t="s">
        <v>4</v>
      </c>
      <c r="AC84">
        <v>2023</v>
      </c>
      <c r="AE84" t="s">
        <v>3</v>
      </c>
      <c r="AF84" t="s">
        <v>2</v>
      </c>
      <c r="AG84">
        <v>0</v>
      </c>
      <c r="AH84" t="s">
        <v>1</v>
      </c>
      <c r="AI84">
        <v>2</v>
      </c>
      <c r="AJ84" t="s">
        <v>0</v>
      </c>
    </row>
    <row r="85" spans="1:36" x14ac:dyDescent="0.2">
      <c r="A85" t="s">
        <v>23</v>
      </c>
      <c r="B85" t="s">
        <v>22</v>
      </c>
      <c r="C85" t="s">
        <v>21</v>
      </c>
      <c r="D85" t="s">
        <v>20</v>
      </c>
      <c r="E85" t="s">
        <v>117</v>
      </c>
      <c r="F85" t="s">
        <v>116</v>
      </c>
      <c r="G85" t="s">
        <v>16</v>
      </c>
      <c r="H85" t="s">
        <v>17</v>
      </c>
      <c r="I85" t="s">
        <v>16</v>
      </c>
      <c r="J85" t="s">
        <v>15</v>
      </c>
      <c r="K85" t="s">
        <v>14</v>
      </c>
      <c r="L85" t="s">
        <v>13</v>
      </c>
      <c r="M85" t="s">
        <v>5</v>
      </c>
      <c r="N85" t="s">
        <v>4</v>
      </c>
      <c r="O85" t="s">
        <v>12</v>
      </c>
      <c r="P85" t="s">
        <v>11</v>
      </c>
      <c r="Q85" t="s">
        <v>10</v>
      </c>
      <c r="R85" t="s">
        <v>9</v>
      </c>
      <c r="S85" t="s">
        <v>8</v>
      </c>
      <c r="T85" t="s">
        <v>7</v>
      </c>
      <c r="U85" t="s">
        <v>3</v>
      </c>
      <c r="V85" t="s">
        <v>6</v>
      </c>
      <c r="W85">
        <v>2023</v>
      </c>
      <c r="Y85">
        <v>61.617077000000002</v>
      </c>
      <c r="AA85" t="s">
        <v>5</v>
      </c>
      <c r="AB85" t="s">
        <v>4</v>
      </c>
      <c r="AC85">
        <v>2023</v>
      </c>
      <c r="AE85" t="s">
        <v>3</v>
      </c>
      <c r="AF85" t="s">
        <v>2</v>
      </c>
      <c r="AG85">
        <v>0</v>
      </c>
      <c r="AH85" t="s">
        <v>1</v>
      </c>
      <c r="AI85">
        <v>2</v>
      </c>
      <c r="AJ85" t="s">
        <v>0</v>
      </c>
    </row>
    <row r="86" spans="1:36" x14ac:dyDescent="0.2">
      <c r="A86" t="s">
        <v>23</v>
      </c>
      <c r="B86" t="s">
        <v>22</v>
      </c>
      <c r="C86" t="s">
        <v>21</v>
      </c>
      <c r="D86" t="s">
        <v>20</v>
      </c>
      <c r="E86" t="s">
        <v>115</v>
      </c>
      <c r="F86" t="s">
        <v>114</v>
      </c>
      <c r="G86" t="s">
        <v>16</v>
      </c>
      <c r="H86" t="s">
        <v>17</v>
      </c>
      <c r="I86" t="s">
        <v>16</v>
      </c>
      <c r="J86" t="s">
        <v>15</v>
      </c>
      <c r="K86" t="s">
        <v>14</v>
      </c>
      <c r="L86" t="s">
        <v>13</v>
      </c>
      <c r="M86" t="s">
        <v>5</v>
      </c>
      <c r="N86" t="s">
        <v>4</v>
      </c>
      <c r="O86" t="s">
        <v>12</v>
      </c>
      <c r="P86" t="s">
        <v>11</v>
      </c>
      <c r="Q86" t="s">
        <v>10</v>
      </c>
      <c r="R86" t="s">
        <v>9</v>
      </c>
      <c r="S86" t="s">
        <v>8</v>
      </c>
      <c r="T86" t="s">
        <v>7</v>
      </c>
      <c r="U86" t="s">
        <v>3</v>
      </c>
      <c r="V86" t="s">
        <v>6</v>
      </c>
      <c r="W86">
        <v>2023</v>
      </c>
      <c r="Y86">
        <v>42.414462999999998</v>
      </c>
      <c r="AA86" t="s">
        <v>5</v>
      </c>
      <c r="AB86" t="s">
        <v>4</v>
      </c>
      <c r="AC86">
        <v>2023</v>
      </c>
      <c r="AE86" t="s">
        <v>3</v>
      </c>
      <c r="AF86" t="s">
        <v>2</v>
      </c>
      <c r="AG86">
        <v>0</v>
      </c>
      <c r="AH86" t="s">
        <v>1</v>
      </c>
      <c r="AI86">
        <v>2</v>
      </c>
      <c r="AJ86" t="s">
        <v>0</v>
      </c>
    </row>
    <row r="87" spans="1:36" x14ac:dyDescent="0.2">
      <c r="A87" t="s">
        <v>23</v>
      </c>
      <c r="B87" t="s">
        <v>22</v>
      </c>
      <c r="C87" t="s">
        <v>21</v>
      </c>
      <c r="D87" t="s">
        <v>20</v>
      </c>
      <c r="E87" t="s">
        <v>113</v>
      </c>
      <c r="F87" t="s">
        <v>112</v>
      </c>
      <c r="G87" t="s">
        <v>16</v>
      </c>
      <c r="H87" t="s">
        <v>17</v>
      </c>
      <c r="I87" t="s">
        <v>16</v>
      </c>
      <c r="J87" t="s">
        <v>15</v>
      </c>
      <c r="K87" t="s">
        <v>14</v>
      </c>
      <c r="L87" t="s">
        <v>13</v>
      </c>
      <c r="M87" t="s">
        <v>5</v>
      </c>
      <c r="N87" t="s">
        <v>4</v>
      </c>
      <c r="O87" t="s">
        <v>12</v>
      </c>
      <c r="P87" t="s">
        <v>11</v>
      </c>
      <c r="Q87" t="s">
        <v>10</v>
      </c>
      <c r="R87" t="s">
        <v>9</v>
      </c>
      <c r="S87" t="s">
        <v>8</v>
      </c>
      <c r="T87" t="s">
        <v>7</v>
      </c>
      <c r="U87" t="s">
        <v>3</v>
      </c>
      <c r="V87" t="s">
        <v>6</v>
      </c>
      <c r="W87">
        <v>2023</v>
      </c>
      <c r="Y87">
        <v>125.06547999999999</v>
      </c>
      <c r="AA87" t="s">
        <v>5</v>
      </c>
      <c r="AB87" t="s">
        <v>4</v>
      </c>
      <c r="AC87">
        <v>2023</v>
      </c>
      <c r="AE87" t="s">
        <v>3</v>
      </c>
      <c r="AF87" t="s">
        <v>2</v>
      </c>
      <c r="AG87">
        <v>0</v>
      </c>
      <c r="AH87" t="s">
        <v>1</v>
      </c>
      <c r="AI87">
        <v>2</v>
      </c>
      <c r="AJ87" t="s">
        <v>0</v>
      </c>
    </row>
    <row r="88" spans="1:36" x14ac:dyDescent="0.2">
      <c r="A88" t="s">
        <v>23</v>
      </c>
      <c r="B88" t="s">
        <v>22</v>
      </c>
      <c r="C88" t="s">
        <v>21</v>
      </c>
      <c r="D88" t="s">
        <v>20</v>
      </c>
      <c r="E88" t="s">
        <v>111</v>
      </c>
      <c r="F88" t="s">
        <v>110</v>
      </c>
      <c r="G88" t="s">
        <v>16</v>
      </c>
      <c r="H88" t="s">
        <v>17</v>
      </c>
      <c r="I88" t="s">
        <v>16</v>
      </c>
      <c r="J88" t="s">
        <v>15</v>
      </c>
      <c r="K88" t="s">
        <v>14</v>
      </c>
      <c r="L88" t="s">
        <v>13</v>
      </c>
      <c r="M88" t="s">
        <v>5</v>
      </c>
      <c r="N88" t="s">
        <v>4</v>
      </c>
      <c r="O88" t="s">
        <v>12</v>
      </c>
      <c r="P88" t="s">
        <v>11</v>
      </c>
      <c r="Q88" t="s">
        <v>10</v>
      </c>
      <c r="R88" t="s">
        <v>9</v>
      </c>
      <c r="S88" t="s">
        <v>8</v>
      </c>
      <c r="T88" t="s">
        <v>7</v>
      </c>
      <c r="U88" t="s">
        <v>3</v>
      </c>
      <c r="V88" t="s">
        <v>6</v>
      </c>
      <c r="W88">
        <v>2023</v>
      </c>
      <c r="Y88">
        <v>28.653582</v>
      </c>
      <c r="AA88" t="s">
        <v>5</v>
      </c>
      <c r="AB88" t="s">
        <v>4</v>
      </c>
      <c r="AC88">
        <v>2023</v>
      </c>
      <c r="AE88" t="s">
        <v>3</v>
      </c>
      <c r="AF88" t="s">
        <v>2</v>
      </c>
      <c r="AG88">
        <v>0</v>
      </c>
      <c r="AH88" t="s">
        <v>1</v>
      </c>
      <c r="AI88">
        <v>2</v>
      </c>
      <c r="AJ88" t="s">
        <v>0</v>
      </c>
    </row>
    <row r="89" spans="1:36" x14ac:dyDescent="0.2">
      <c r="A89" t="s">
        <v>23</v>
      </c>
      <c r="B89" t="s">
        <v>22</v>
      </c>
      <c r="C89" t="s">
        <v>21</v>
      </c>
      <c r="D89" t="s">
        <v>20</v>
      </c>
      <c r="E89" t="s">
        <v>109</v>
      </c>
      <c r="F89" t="s">
        <v>108</v>
      </c>
      <c r="G89" t="s">
        <v>16</v>
      </c>
      <c r="H89" t="s">
        <v>17</v>
      </c>
      <c r="I89" t="s">
        <v>16</v>
      </c>
      <c r="J89" t="s">
        <v>15</v>
      </c>
      <c r="K89" t="s">
        <v>14</v>
      </c>
      <c r="L89" t="s">
        <v>13</v>
      </c>
      <c r="M89" t="s">
        <v>5</v>
      </c>
      <c r="N89" t="s">
        <v>4</v>
      </c>
      <c r="O89" t="s">
        <v>12</v>
      </c>
      <c r="P89" t="s">
        <v>11</v>
      </c>
      <c r="Q89" t="s">
        <v>10</v>
      </c>
      <c r="R89" t="s">
        <v>9</v>
      </c>
      <c r="S89" t="s">
        <v>8</v>
      </c>
      <c r="T89" t="s">
        <v>7</v>
      </c>
      <c r="U89" t="s">
        <v>3</v>
      </c>
      <c r="V89" t="s">
        <v>6</v>
      </c>
      <c r="W89">
        <v>2023</v>
      </c>
      <c r="Y89">
        <v>110.71052</v>
      </c>
      <c r="AA89" t="s">
        <v>5</v>
      </c>
      <c r="AB89" t="s">
        <v>4</v>
      </c>
      <c r="AC89">
        <v>2023</v>
      </c>
      <c r="AE89" t="s">
        <v>3</v>
      </c>
      <c r="AF89" t="s">
        <v>2</v>
      </c>
      <c r="AG89">
        <v>0</v>
      </c>
      <c r="AH89" t="s">
        <v>1</v>
      </c>
      <c r="AI89">
        <v>2</v>
      </c>
      <c r="AJ89" t="s">
        <v>0</v>
      </c>
    </row>
    <row r="90" spans="1:36" x14ac:dyDescent="0.2">
      <c r="A90" t="s">
        <v>23</v>
      </c>
      <c r="B90" t="s">
        <v>22</v>
      </c>
      <c r="C90" t="s">
        <v>21</v>
      </c>
      <c r="D90" t="s">
        <v>20</v>
      </c>
      <c r="E90" t="s">
        <v>107</v>
      </c>
      <c r="F90" t="s">
        <v>106</v>
      </c>
      <c r="G90" t="s">
        <v>16</v>
      </c>
      <c r="H90" t="s">
        <v>17</v>
      </c>
      <c r="I90" t="s">
        <v>16</v>
      </c>
      <c r="J90" t="s">
        <v>15</v>
      </c>
      <c r="K90" t="s">
        <v>14</v>
      </c>
      <c r="L90" t="s">
        <v>13</v>
      </c>
      <c r="M90" t="s">
        <v>5</v>
      </c>
      <c r="N90" t="s">
        <v>4</v>
      </c>
      <c r="O90" t="s">
        <v>12</v>
      </c>
      <c r="P90" t="s">
        <v>11</v>
      </c>
      <c r="Q90" t="s">
        <v>10</v>
      </c>
      <c r="R90" t="s">
        <v>9</v>
      </c>
      <c r="S90" t="s">
        <v>8</v>
      </c>
      <c r="T90" t="s">
        <v>7</v>
      </c>
      <c r="U90" t="s">
        <v>3</v>
      </c>
      <c r="V90" t="s">
        <v>6</v>
      </c>
      <c r="W90">
        <v>2023</v>
      </c>
      <c r="Y90">
        <v>33.595363999999996</v>
      </c>
      <c r="AA90" t="s">
        <v>5</v>
      </c>
      <c r="AB90" t="s">
        <v>4</v>
      </c>
      <c r="AC90">
        <v>2023</v>
      </c>
      <c r="AE90" t="s">
        <v>3</v>
      </c>
      <c r="AF90" t="s">
        <v>2</v>
      </c>
      <c r="AG90">
        <v>0</v>
      </c>
      <c r="AH90" t="s">
        <v>1</v>
      </c>
      <c r="AI90">
        <v>2</v>
      </c>
      <c r="AJ90" t="s">
        <v>0</v>
      </c>
    </row>
    <row r="91" spans="1:36" x14ac:dyDescent="0.2">
      <c r="A91" t="s">
        <v>23</v>
      </c>
      <c r="B91" t="s">
        <v>22</v>
      </c>
      <c r="C91" t="s">
        <v>21</v>
      </c>
      <c r="D91" t="s">
        <v>20</v>
      </c>
      <c r="E91" t="s">
        <v>105</v>
      </c>
      <c r="F91" t="s">
        <v>104</v>
      </c>
      <c r="G91" t="s">
        <v>16</v>
      </c>
      <c r="H91" t="s">
        <v>17</v>
      </c>
      <c r="I91" t="s">
        <v>16</v>
      </c>
      <c r="J91" t="s">
        <v>15</v>
      </c>
      <c r="K91" t="s">
        <v>14</v>
      </c>
      <c r="L91" t="s">
        <v>13</v>
      </c>
      <c r="M91" t="s">
        <v>5</v>
      </c>
      <c r="N91" t="s">
        <v>4</v>
      </c>
      <c r="O91" t="s">
        <v>12</v>
      </c>
      <c r="P91" t="s">
        <v>11</v>
      </c>
      <c r="Q91" t="s">
        <v>10</v>
      </c>
      <c r="R91" t="s">
        <v>9</v>
      </c>
      <c r="S91" t="s">
        <v>8</v>
      </c>
      <c r="T91" t="s">
        <v>7</v>
      </c>
      <c r="U91" t="s">
        <v>3</v>
      </c>
      <c r="V91" t="s">
        <v>6</v>
      </c>
      <c r="W91">
        <v>2023</v>
      </c>
      <c r="Y91">
        <v>101.15076000000001</v>
      </c>
      <c r="AA91" t="s">
        <v>5</v>
      </c>
      <c r="AB91" t="s">
        <v>4</v>
      </c>
      <c r="AC91">
        <v>2023</v>
      </c>
      <c r="AE91" t="s">
        <v>3</v>
      </c>
      <c r="AF91" t="s">
        <v>2</v>
      </c>
      <c r="AG91">
        <v>0</v>
      </c>
      <c r="AH91" t="s">
        <v>1</v>
      </c>
      <c r="AI91">
        <v>2</v>
      </c>
      <c r="AJ91" t="s">
        <v>0</v>
      </c>
    </row>
    <row r="92" spans="1:36" x14ac:dyDescent="0.2">
      <c r="A92" t="s">
        <v>23</v>
      </c>
      <c r="B92" t="s">
        <v>22</v>
      </c>
      <c r="C92" t="s">
        <v>21</v>
      </c>
      <c r="D92" t="s">
        <v>20</v>
      </c>
      <c r="E92" t="s">
        <v>103</v>
      </c>
      <c r="F92" t="s">
        <v>102</v>
      </c>
      <c r="G92" t="s">
        <v>16</v>
      </c>
      <c r="H92" t="s">
        <v>17</v>
      </c>
      <c r="I92" t="s">
        <v>16</v>
      </c>
      <c r="J92" t="s">
        <v>15</v>
      </c>
      <c r="K92" t="s">
        <v>14</v>
      </c>
      <c r="L92" t="s">
        <v>13</v>
      </c>
      <c r="M92" t="s">
        <v>5</v>
      </c>
      <c r="N92" t="s">
        <v>4</v>
      </c>
      <c r="O92" t="s">
        <v>12</v>
      </c>
      <c r="P92" t="s">
        <v>11</v>
      </c>
      <c r="Q92" t="s">
        <v>10</v>
      </c>
      <c r="R92" t="s">
        <v>9</v>
      </c>
      <c r="S92" t="s">
        <v>8</v>
      </c>
      <c r="T92" t="s">
        <v>7</v>
      </c>
      <c r="U92" t="s">
        <v>3</v>
      </c>
      <c r="V92" t="s">
        <v>6</v>
      </c>
      <c r="W92">
        <v>2023</v>
      </c>
      <c r="Y92">
        <v>68.158066000000005</v>
      </c>
      <c r="AA92" t="s">
        <v>5</v>
      </c>
      <c r="AB92" t="s">
        <v>4</v>
      </c>
      <c r="AC92">
        <v>2023</v>
      </c>
      <c r="AE92" t="s">
        <v>3</v>
      </c>
      <c r="AF92" t="s">
        <v>2</v>
      </c>
      <c r="AG92">
        <v>0</v>
      </c>
      <c r="AH92" t="s">
        <v>1</v>
      </c>
      <c r="AI92">
        <v>2</v>
      </c>
      <c r="AJ92" t="s">
        <v>0</v>
      </c>
    </row>
    <row r="93" spans="1:36" x14ac:dyDescent="0.2">
      <c r="A93" t="s">
        <v>23</v>
      </c>
      <c r="B93" t="s">
        <v>22</v>
      </c>
      <c r="C93" t="s">
        <v>21</v>
      </c>
      <c r="D93" t="s">
        <v>20</v>
      </c>
      <c r="E93" t="s">
        <v>101</v>
      </c>
      <c r="F93" t="s">
        <v>100</v>
      </c>
      <c r="G93" t="s">
        <v>16</v>
      </c>
      <c r="H93" t="s">
        <v>17</v>
      </c>
      <c r="I93" t="s">
        <v>16</v>
      </c>
      <c r="J93" t="s">
        <v>15</v>
      </c>
      <c r="K93" t="s">
        <v>14</v>
      </c>
      <c r="L93" t="s">
        <v>13</v>
      </c>
      <c r="M93" t="s">
        <v>5</v>
      </c>
      <c r="N93" t="s">
        <v>4</v>
      </c>
      <c r="O93" t="s">
        <v>12</v>
      </c>
      <c r="P93" t="s">
        <v>11</v>
      </c>
      <c r="Q93" t="s">
        <v>10</v>
      </c>
      <c r="R93" t="s">
        <v>9</v>
      </c>
      <c r="S93" t="s">
        <v>8</v>
      </c>
      <c r="T93" t="s">
        <v>7</v>
      </c>
      <c r="U93" t="s">
        <v>3</v>
      </c>
      <c r="V93" t="s">
        <v>6</v>
      </c>
      <c r="W93">
        <v>2023</v>
      </c>
      <c r="Y93">
        <v>87.920753000000005</v>
      </c>
      <c r="AA93" t="s">
        <v>5</v>
      </c>
      <c r="AB93" t="s">
        <v>4</v>
      </c>
      <c r="AC93">
        <v>2023</v>
      </c>
      <c r="AE93" t="s">
        <v>3</v>
      </c>
      <c r="AF93" t="s">
        <v>2</v>
      </c>
      <c r="AG93">
        <v>0</v>
      </c>
      <c r="AH93" t="s">
        <v>1</v>
      </c>
      <c r="AI93">
        <v>2</v>
      </c>
      <c r="AJ93" t="s">
        <v>0</v>
      </c>
    </row>
    <row r="94" spans="1:36" x14ac:dyDescent="0.2">
      <c r="A94" t="s">
        <v>23</v>
      </c>
      <c r="B94" t="s">
        <v>22</v>
      </c>
      <c r="C94" t="s">
        <v>21</v>
      </c>
      <c r="D94" t="s">
        <v>20</v>
      </c>
      <c r="E94" t="s">
        <v>99</v>
      </c>
      <c r="F94" t="s">
        <v>98</v>
      </c>
      <c r="G94" t="s">
        <v>16</v>
      </c>
      <c r="H94" t="s">
        <v>17</v>
      </c>
      <c r="I94" t="s">
        <v>16</v>
      </c>
      <c r="J94" t="s">
        <v>15</v>
      </c>
      <c r="K94" t="s">
        <v>14</v>
      </c>
      <c r="L94" t="s">
        <v>13</v>
      </c>
      <c r="M94" t="s">
        <v>5</v>
      </c>
      <c r="N94" t="s">
        <v>4</v>
      </c>
      <c r="O94" t="s">
        <v>12</v>
      </c>
      <c r="P94" t="s">
        <v>11</v>
      </c>
      <c r="Q94" t="s">
        <v>10</v>
      </c>
      <c r="R94" t="s">
        <v>9</v>
      </c>
      <c r="S94" t="s">
        <v>8</v>
      </c>
      <c r="T94" t="s">
        <v>7</v>
      </c>
      <c r="U94" t="s">
        <v>3</v>
      </c>
      <c r="V94" t="s">
        <v>6</v>
      </c>
      <c r="W94">
        <v>2023</v>
      </c>
      <c r="Y94">
        <v>62.042949999999998</v>
      </c>
      <c r="AA94" t="s">
        <v>5</v>
      </c>
      <c r="AB94" t="s">
        <v>4</v>
      </c>
      <c r="AC94">
        <v>2023</v>
      </c>
      <c r="AE94" t="s">
        <v>3</v>
      </c>
      <c r="AF94" t="s">
        <v>2</v>
      </c>
      <c r="AG94">
        <v>0</v>
      </c>
      <c r="AH94" t="s">
        <v>1</v>
      </c>
      <c r="AI94">
        <v>2</v>
      </c>
      <c r="AJ94" t="s">
        <v>0</v>
      </c>
    </row>
    <row r="95" spans="1:36" x14ac:dyDescent="0.2">
      <c r="A95" t="s">
        <v>23</v>
      </c>
      <c r="B95" t="s">
        <v>22</v>
      </c>
      <c r="C95" t="s">
        <v>21</v>
      </c>
      <c r="D95" t="s">
        <v>20</v>
      </c>
      <c r="E95" t="s">
        <v>97</v>
      </c>
      <c r="F95" t="s">
        <v>96</v>
      </c>
      <c r="G95" t="s">
        <v>16</v>
      </c>
      <c r="H95" t="s">
        <v>17</v>
      </c>
      <c r="I95" t="s">
        <v>16</v>
      </c>
      <c r="J95" t="s">
        <v>15</v>
      </c>
      <c r="K95" t="s">
        <v>14</v>
      </c>
      <c r="L95" t="s">
        <v>13</v>
      </c>
      <c r="M95" t="s">
        <v>5</v>
      </c>
      <c r="N95" t="s">
        <v>4</v>
      </c>
      <c r="O95" t="s">
        <v>12</v>
      </c>
      <c r="P95" t="s">
        <v>11</v>
      </c>
      <c r="Q95" t="s">
        <v>10</v>
      </c>
      <c r="R95" t="s">
        <v>9</v>
      </c>
      <c r="S95" t="s">
        <v>8</v>
      </c>
      <c r="T95" t="s">
        <v>7</v>
      </c>
      <c r="U95" t="s">
        <v>3</v>
      </c>
      <c r="V95" t="s">
        <v>6</v>
      </c>
      <c r="W95">
        <v>2023</v>
      </c>
      <c r="Y95">
        <v>88.713988999999998</v>
      </c>
      <c r="AA95" t="s">
        <v>5</v>
      </c>
      <c r="AB95" t="s">
        <v>4</v>
      </c>
      <c r="AC95">
        <v>2023</v>
      </c>
      <c r="AE95" t="s">
        <v>3</v>
      </c>
      <c r="AF95" t="s">
        <v>2</v>
      </c>
      <c r="AG95">
        <v>0</v>
      </c>
      <c r="AH95" t="s">
        <v>1</v>
      </c>
      <c r="AI95">
        <v>2</v>
      </c>
      <c r="AJ95" t="s">
        <v>0</v>
      </c>
    </row>
    <row r="96" spans="1:36" x14ac:dyDescent="0.2">
      <c r="A96" t="s">
        <v>23</v>
      </c>
      <c r="B96" t="s">
        <v>22</v>
      </c>
      <c r="C96" t="s">
        <v>21</v>
      </c>
      <c r="D96" t="s">
        <v>20</v>
      </c>
      <c r="E96" t="s">
        <v>95</v>
      </c>
      <c r="F96" t="s">
        <v>94</v>
      </c>
      <c r="G96" t="s">
        <v>16</v>
      </c>
      <c r="H96" t="s">
        <v>17</v>
      </c>
      <c r="I96" t="s">
        <v>16</v>
      </c>
      <c r="J96" t="s">
        <v>15</v>
      </c>
      <c r="K96" t="s">
        <v>14</v>
      </c>
      <c r="L96" t="s">
        <v>13</v>
      </c>
      <c r="M96" t="s">
        <v>5</v>
      </c>
      <c r="N96" t="s">
        <v>4</v>
      </c>
      <c r="O96" t="s">
        <v>12</v>
      </c>
      <c r="P96" t="s">
        <v>11</v>
      </c>
      <c r="Q96" t="s">
        <v>10</v>
      </c>
      <c r="R96" t="s">
        <v>9</v>
      </c>
      <c r="S96" t="s">
        <v>8</v>
      </c>
      <c r="T96" t="s">
        <v>7</v>
      </c>
      <c r="U96" t="s">
        <v>3</v>
      </c>
      <c r="V96" t="s">
        <v>6</v>
      </c>
      <c r="W96">
        <v>2023</v>
      </c>
      <c r="Y96">
        <v>67.718468000000001</v>
      </c>
      <c r="AA96" t="s">
        <v>5</v>
      </c>
      <c r="AB96" t="s">
        <v>4</v>
      </c>
      <c r="AC96">
        <v>2023</v>
      </c>
      <c r="AE96" t="s">
        <v>3</v>
      </c>
      <c r="AF96" t="s">
        <v>2</v>
      </c>
      <c r="AG96">
        <v>0</v>
      </c>
      <c r="AH96" t="s">
        <v>1</v>
      </c>
      <c r="AI96">
        <v>2</v>
      </c>
      <c r="AJ96" t="s">
        <v>0</v>
      </c>
    </row>
    <row r="97" spans="1:36" x14ac:dyDescent="0.2">
      <c r="A97" t="s">
        <v>23</v>
      </c>
      <c r="B97" t="s">
        <v>22</v>
      </c>
      <c r="C97" t="s">
        <v>21</v>
      </c>
      <c r="D97" t="s">
        <v>20</v>
      </c>
      <c r="E97" t="s">
        <v>93</v>
      </c>
      <c r="F97" t="s">
        <v>92</v>
      </c>
      <c r="G97" t="s">
        <v>16</v>
      </c>
      <c r="H97" t="s">
        <v>17</v>
      </c>
      <c r="I97" t="s">
        <v>16</v>
      </c>
      <c r="J97" t="s">
        <v>15</v>
      </c>
      <c r="K97" t="s">
        <v>14</v>
      </c>
      <c r="L97" t="s">
        <v>13</v>
      </c>
      <c r="M97" t="s">
        <v>5</v>
      </c>
      <c r="N97" t="s">
        <v>4</v>
      </c>
      <c r="O97" t="s">
        <v>12</v>
      </c>
      <c r="P97" t="s">
        <v>11</v>
      </c>
      <c r="Q97" t="s">
        <v>10</v>
      </c>
      <c r="R97" t="s">
        <v>9</v>
      </c>
      <c r="S97" t="s">
        <v>8</v>
      </c>
      <c r="T97" t="s">
        <v>7</v>
      </c>
      <c r="U97" t="s">
        <v>3</v>
      </c>
      <c r="V97" t="s">
        <v>6</v>
      </c>
      <c r="W97">
        <v>2023</v>
      </c>
      <c r="Y97">
        <v>90.316199999999995</v>
      </c>
      <c r="AA97" t="s">
        <v>5</v>
      </c>
      <c r="AB97" t="s">
        <v>4</v>
      </c>
      <c r="AC97">
        <v>2023</v>
      </c>
      <c r="AE97" t="s">
        <v>3</v>
      </c>
      <c r="AF97" t="s">
        <v>2</v>
      </c>
      <c r="AG97">
        <v>0</v>
      </c>
      <c r="AH97" t="s">
        <v>1</v>
      </c>
      <c r="AI97">
        <v>2</v>
      </c>
      <c r="AJ97" t="s">
        <v>0</v>
      </c>
    </row>
    <row r="98" spans="1:36" x14ac:dyDescent="0.2">
      <c r="A98" t="s">
        <v>23</v>
      </c>
      <c r="B98" t="s">
        <v>22</v>
      </c>
      <c r="C98" t="s">
        <v>21</v>
      </c>
      <c r="D98" t="s">
        <v>20</v>
      </c>
      <c r="E98" t="s">
        <v>91</v>
      </c>
      <c r="F98" t="s">
        <v>90</v>
      </c>
      <c r="G98" t="s">
        <v>16</v>
      </c>
      <c r="H98" t="s">
        <v>17</v>
      </c>
      <c r="I98" t="s">
        <v>16</v>
      </c>
      <c r="J98" t="s">
        <v>15</v>
      </c>
      <c r="K98" t="s">
        <v>14</v>
      </c>
      <c r="L98" t="s">
        <v>13</v>
      </c>
      <c r="M98" t="s">
        <v>5</v>
      </c>
      <c r="N98" t="s">
        <v>4</v>
      </c>
      <c r="O98" t="s">
        <v>12</v>
      </c>
      <c r="P98" t="s">
        <v>11</v>
      </c>
      <c r="Q98" t="s">
        <v>10</v>
      </c>
      <c r="R98" t="s">
        <v>9</v>
      </c>
      <c r="S98" t="s">
        <v>8</v>
      </c>
      <c r="T98" t="s">
        <v>7</v>
      </c>
      <c r="U98" t="s">
        <v>3</v>
      </c>
      <c r="V98" t="s">
        <v>6</v>
      </c>
      <c r="W98">
        <v>2023</v>
      </c>
      <c r="Y98">
        <v>168.77026000000001</v>
      </c>
      <c r="AA98" t="s">
        <v>5</v>
      </c>
      <c r="AB98" t="s">
        <v>4</v>
      </c>
      <c r="AC98">
        <v>2023</v>
      </c>
      <c r="AE98" t="s">
        <v>3</v>
      </c>
      <c r="AF98" t="s">
        <v>2</v>
      </c>
      <c r="AG98">
        <v>0</v>
      </c>
      <c r="AH98" t="s">
        <v>1</v>
      </c>
      <c r="AI98">
        <v>2</v>
      </c>
      <c r="AJ98" t="s">
        <v>0</v>
      </c>
    </row>
    <row r="99" spans="1:36" x14ac:dyDescent="0.2">
      <c r="A99" t="s">
        <v>23</v>
      </c>
      <c r="B99" t="s">
        <v>22</v>
      </c>
      <c r="C99" t="s">
        <v>21</v>
      </c>
      <c r="D99" t="s">
        <v>20</v>
      </c>
      <c r="E99" t="s">
        <v>89</v>
      </c>
      <c r="F99" t="s">
        <v>285</v>
      </c>
      <c r="G99" t="s">
        <v>16</v>
      </c>
      <c r="H99" t="s">
        <v>17</v>
      </c>
      <c r="I99" t="s">
        <v>16</v>
      </c>
      <c r="J99" t="s">
        <v>15</v>
      </c>
      <c r="K99" t="s">
        <v>14</v>
      </c>
      <c r="L99" t="s">
        <v>13</v>
      </c>
      <c r="M99" t="s">
        <v>5</v>
      </c>
      <c r="N99" t="s">
        <v>4</v>
      </c>
      <c r="O99" t="s">
        <v>12</v>
      </c>
      <c r="P99" t="s">
        <v>11</v>
      </c>
      <c r="Q99" t="s">
        <v>10</v>
      </c>
      <c r="R99" t="s">
        <v>9</v>
      </c>
      <c r="S99" t="s">
        <v>8</v>
      </c>
      <c r="T99" t="s">
        <v>7</v>
      </c>
      <c r="U99" t="s">
        <v>3</v>
      </c>
      <c r="V99" t="s">
        <v>6</v>
      </c>
      <c r="W99">
        <v>2023</v>
      </c>
      <c r="Y99">
        <v>9.3701305000000001</v>
      </c>
      <c r="AA99" t="s">
        <v>5</v>
      </c>
      <c r="AB99" t="s">
        <v>4</v>
      </c>
      <c r="AC99">
        <v>2023</v>
      </c>
      <c r="AE99" t="s">
        <v>3</v>
      </c>
      <c r="AF99" t="s">
        <v>2</v>
      </c>
      <c r="AG99">
        <v>0</v>
      </c>
      <c r="AH99" t="s">
        <v>1</v>
      </c>
      <c r="AI99">
        <v>2</v>
      </c>
      <c r="AJ99" t="s">
        <v>0</v>
      </c>
    </row>
    <row r="100" spans="1:36" x14ac:dyDescent="0.2">
      <c r="A100" t="s">
        <v>23</v>
      </c>
      <c r="B100" t="s">
        <v>22</v>
      </c>
      <c r="C100" t="s">
        <v>21</v>
      </c>
      <c r="D100" t="s">
        <v>20</v>
      </c>
      <c r="E100" t="s">
        <v>88</v>
      </c>
      <c r="F100" t="s">
        <v>87</v>
      </c>
      <c r="G100" t="s">
        <v>16</v>
      </c>
      <c r="H100" t="s">
        <v>17</v>
      </c>
      <c r="I100" t="s">
        <v>16</v>
      </c>
      <c r="J100" t="s">
        <v>15</v>
      </c>
      <c r="K100" t="s">
        <v>14</v>
      </c>
      <c r="L100" t="s">
        <v>13</v>
      </c>
      <c r="M100" t="s">
        <v>5</v>
      </c>
      <c r="N100" t="s">
        <v>4</v>
      </c>
      <c r="O100" t="s">
        <v>12</v>
      </c>
      <c r="P100" t="s">
        <v>11</v>
      </c>
      <c r="Q100" t="s">
        <v>10</v>
      </c>
      <c r="R100" t="s">
        <v>9</v>
      </c>
      <c r="S100" t="s">
        <v>8</v>
      </c>
      <c r="T100" t="s">
        <v>7</v>
      </c>
      <c r="U100" t="s">
        <v>3</v>
      </c>
      <c r="V100" t="s">
        <v>6</v>
      </c>
      <c r="W100">
        <v>2023</v>
      </c>
      <c r="Y100">
        <v>35.185329000000003</v>
      </c>
      <c r="AA100" t="s">
        <v>5</v>
      </c>
      <c r="AB100" t="s">
        <v>4</v>
      </c>
      <c r="AC100">
        <v>2023</v>
      </c>
      <c r="AE100" t="s">
        <v>3</v>
      </c>
      <c r="AF100" t="s">
        <v>2</v>
      </c>
      <c r="AG100">
        <v>0</v>
      </c>
      <c r="AH100" t="s">
        <v>1</v>
      </c>
      <c r="AI100">
        <v>2</v>
      </c>
      <c r="AJ100" t="s">
        <v>0</v>
      </c>
    </row>
    <row r="101" spans="1:36" x14ac:dyDescent="0.2">
      <c r="A101" t="s">
        <v>23</v>
      </c>
      <c r="B101" t="s">
        <v>22</v>
      </c>
      <c r="C101" t="s">
        <v>21</v>
      </c>
      <c r="D101" t="s">
        <v>20</v>
      </c>
      <c r="E101" t="s">
        <v>86</v>
      </c>
      <c r="F101" t="s">
        <v>86</v>
      </c>
      <c r="G101" t="s">
        <v>16</v>
      </c>
      <c r="H101" t="s">
        <v>17</v>
      </c>
      <c r="I101" t="s">
        <v>16</v>
      </c>
      <c r="J101" t="s">
        <v>15</v>
      </c>
      <c r="K101" t="s">
        <v>14</v>
      </c>
      <c r="L101" t="s">
        <v>13</v>
      </c>
      <c r="M101" t="s">
        <v>5</v>
      </c>
      <c r="N101" t="s">
        <v>4</v>
      </c>
      <c r="O101" t="s">
        <v>12</v>
      </c>
      <c r="P101" t="s">
        <v>11</v>
      </c>
      <c r="Q101" t="s">
        <v>10</v>
      </c>
      <c r="R101" t="s">
        <v>9</v>
      </c>
      <c r="S101" t="s">
        <v>8</v>
      </c>
      <c r="T101" t="s">
        <v>7</v>
      </c>
      <c r="U101" t="s">
        <v>3</v>
      </c>
      <c r="V101" t="s">
        <v>6</v>
      </c>
      <c r="W101">
        <v>2023</v>
      </c>
      <c r="Y101">
        <v>47.151859000000002</v>
      </c>
      <c r="AA101" t="s">
        <v>5</v>
      </c>
      <c r="AB101" t="s">
        <v>4</v>
      </c>
      <c r="AC101">
        <v>2023</v>
      </c>
      <c r="AE101" t="s">
        <v>3</v>
      </c>
      <c r="AF101" t="s">
        <v>2</v>
      </c>
      <c r="AG101">
        <v>0</v>
      </c>
      <c r="AH101" t="s">
        <v>1</v>
      </c>
      <c r="AI101">
        <v>2</v>
      </c>
      <c r="AJ101" t="s">
        <v>0</v>
      </c>
    </row>
    <row r="102" spans="1:36" x14ac:dyDescent="0.2">
      <c r="A102" t="s">
        <v>23</v>
      </c>
      <c r="B102" t="s">
        <v>22</v>
      </c>
      <c r="C102" t="s">
        <v>21</v>
      </c>
      <c r="D102" t="s">
        <v>20</v>
      </c>
      <c r="E102" t="s">
        <v>85</v>
      </c>
      <c r="F102" t="s">
        <v>85</v>
      </c>
      <c r="G102" t="s">
        <v>16</v>
      </c>
      <c r="H102" t="s">
        <v>17</v>
      </c>
      <c r="I102" t="s">
        <v>16</v>
      </c>
      <c r="J102" t="s">
        <v>15</v>
      </c>
      <c r="K102" t="s">
        <v>14</v>
      </c>
      <c r="L102" t="s">
        <v>13</v>
      </c>
      <c r="M102" t="s">
        <v>5</v>
      </c>
      <c r="N102" t="s">
        <v>4</v>
      </c>
      <c r="O102" t="s">
        <v>12</v>
      </c>
      <c r="P102" t="s">
        <v>11</v>
      </c>
      <c r="Q102" t="s">
        <v>10</v>
      </c>
      <c r="R102" t="s">
        <v>9</v>
      </c>
      <c r="S102" t="s">
        <v>8</v>
      </c>
      <c r="T102" t="s">
        <v>7</v>
      </c>
      <c r="U102" t="s">
        <v>3</v>
      </c>
      <c r="V102" t="s">
        <v>6</v>
      </c>
      <c r="W102">
        <v>2023</v>
      </c>
      <c r="Y102">
        <v>13.210534000000001</v>
      </c>
      <c r="AA102" t="s">
        <v>5</v>
      </c>
      <c r="AB102" t="s">
        <v>4</v>
      </c>
      <c r="AC102">
        <v>2023</v>
      </c>
      <c r="AE102" t="s">
        <v>3</v>
      </c>
      <c r="AF102" t="s">
        <v>2</v>
      </c>
      <c r="AG102">
        <v>0</v>
      </c>
      <c r="AH102" t="s">
        <v>1</v>
      </c>
      <c r="AI102">
        <v>2</v>
      </c>
      <c r="AJ102" t="s">
        <v>0</v>
      </c>
    </row>
    <row r="103" spans="1:36" x14ac:dyDescent="0.2">
      <c r="A103" t="s">
        <v>23</v>
      </c>
      <c r="B103" t="s">
        <v>22</v>
      </c>
      <c r="C103" t="s">
        <v>21</v>
      </c>
      <c r="D103" t="s">
        <v>20</v>
      </c>
      <c r="E103" t="s">
        <v>84</v>
      </c>
      <c r="F103" t="s">
        <v>83</v>
      </c>
      <c r="G103" t="s">
        <v>16</v>
      </c>
      <c r="H103" t="s">
        <v>17</v>
      </c>
      <c r="I103" t="s">
        <v>16</v>
      </c>
      <c r="J103" t="s">
        <v>15</v>
      </c>
      <c r="K103" t="s">
        <v>14</v>
      </c>
      <c r="L103" t="s">
        <v>13</v>
      </c>
      <c r="M103" t="s">
        <v>5</v>
      </c>
      <c r="N103" t="s">
        <v>4</v>
      </c>
      <c r="O103" t="s">
        <v>12</v>
      </c>
      <c r="P103" t="s">
        <v>11</v>
      </c>
      <c r="Q103" t="s">
        <v>10</v>
      </c>
      <c r="R103" t="s">
        <v>9</v>
      </c>
      <c r="S103" t="s">
        <v>8</v>
      </c>
      <c r="T103" t="s">
        <v>7</v>
      </c>
      <c r="U103" t="s">
        <v>3</v>
      </c>
      <c r="V103" t="s">
        <v>6</v>
      </c>
      <c r="W103">
        <v>2023</v>
      </c>
      <c r="Y103">
        <v>79.666374000000005</v>
      </c>
      <c r="AA103" t="s">
        <v>5</v>
      </c>
      <c r="AB103" t="s">
        <v>4</v>
      </c>
      <c r="AC103">
        <v>2023</v>
      </c>
      <c r="AE103" t="s">
        <v>3</v>
      </c>
      <c r="AF103" t="s">
        <v>2</v>
      </c>
      <c r="AG103">
        <v>0</v>
      </c>
      <c r="AH103" t="s">
        <v>1</v>
      </c>
      <c r="AI103">
        <v>2</v>
      </c>
      <c r="AJ103" t="s">
        <v>0</v>
      </c>
    </row>
    <row r="104" spans="1:36" x14ac:dyDescent="0.2">
      <c r="A104" t="s">
        <v>23</v>
      </c>
      <c r="B104" t="s">
        <v>22</v>
      </c>
      <c r="C104" t="s">
        <v>21</v>
      </c>
      <c r="D104" t="s">
        <v>20</v>
      </c>
      <c r="E104" t="s">
        <v>82</v>
      </c>
      <c r="F104" t="s">
        <v>81</v>
      </c>
      <c r="G104" t="s">
        <v>16</v>
      </c>
      <c r="H104" t="s">
        <v>17</v>
      </c>
      <c r="I104" t="s">
        <v>16</v>
      </c>
      <c r="J104" t="s">
        <v>15</v>
      </c>
      <c r="K104" t="s">
        <v>14</v>
      </c>
      <c r="L104" t="s">
        <v>13</v>
      </c>
      <c r="M104" t="s">
        <v>5</v>
      </c>
      <c r="N104" t="s">
        <v>4</v>
      </c>
      <c r="O104" t="s">
        <v>12</v>
      </c>
      <c r="P104" t="s">
        <v>11</v>
      </c>
      <c r="Q104" t="s">
        <v>10</v>
      </c>
      <c r="R104" t="s">
        <v>9</v>
      </c>
      <c r="S104" t="s">
        <v>8</v>
      </c>
      <c r="T104" t="s">
        <v>7</v>
      </c>
      <c r="U104" t="s">
        <v>3</v>
      </c>
      <c r="V104" t="s">
        <v>6</v>
      </c>
      <c r="W104">
        <v>2023</v>
      </c>
      <c r="Y104">
        <v>44.378967000000003</v>
      </c>
      <c r="AA104" t="s">
        <v>5</v>
      </c>
      <c r="AB104" t="s">
        <v>4</v>
      </c>
      <c r="AC104">
        <v>2023</v>
      </c>
      <c r="AE104" t="s">
        <v>3</v>
      </c>
      <c r="AF104" t="s">
        <v>2</v>
      </c>
      <c r="AG104">
        <v>0</v>
      </c>
      <c r="AH104" t="s">
        <v>1</v>
      </c>
      <c r="AI104">
        <v>2</v>
      </c>
      <c r="AJ104" t="s">
        <v>0</v>
      </c>
    </row>
    <row r="105" spans="1:36" x14ac:dyDescent="0.2">
      <c r="A105" t="s">
        <v>23</v>
      </c>
      <c r="B105" t="s">
        <v>22</v>
      </c>
      <c r="C105" t="s">
        <v>21</v>
      </c>
      <c r="D105" t="s">
        <v>20</v>
      </c>
      <c r="E105" t="s">
        <v>80</v>
      </c>
      <c r="F105" t="s">
        <v>79</v>
      </c>
      <c r="G105" t="s">
        <v>16</v>
      </c>
      <c r="H105" t="s">
        <v>17</v>
      </c>
      <c r="I105" t="s">
        <v>16</v>
      </c>
      <c r="J105" t="s">
        <v>15</v>
      </c>
      <c r="K105" t="s">
        <v>14</v>
      </c>
      <c r="L105" t="s">
        <v>13</v>
      </c>
      <c r="M105" t="s">
        <v>5</v>
      </c>
      <c r="N105" t="s">
        <v>4</v>
      </c>
      <c r="O105" t="s">
        <v>12</v>
      </c>
      <c r="P105" t="s">
        <v>11</v>
      </c>
      <c r="Q105" t="s">
        <v>10</v>
      </c>
      <c r="R105" t="s">
        <v>9</v>
      </c>
      <c r="S105" t="s">
        <v>8</v>
      </c>
      <c r="T105" t="s">
        <v>7</v>
      </c>
      <c r="U105" t="s">
        <v>3</v>
      </c>
      <c r="V105" t="s">
        <v>6</v>
      </c>
      <c r="W105">
        <v>2023</v>
      </c>
      <c r="Y105">
        <v>9.1290312</v>
      </c>
      <c r="AA105" t="s">
        <v>5</v>
      </c>
      <c r="AB105" t="s">
        <v>4</v>
      </c>
      <c r="AC105">
        <v>2023</v>
      </c>
      <c r="AE105" t="s">
        <v>3</v>
      </c>
      <c r="AF105" t="s">
        <v>2</v>
      </c>
      <c r="AG105">
        <v>0</v>
      </c>
      <c r="AH105" t="s">
        <v>1</v>
      </c>
      <c r="AI105">
        <v>2</v>
      </c>
      <c r="AJ105" t="s">
        <v>0</v>
      </c>
    </row>
    <row r="106" spans="1:36" x14ac:dyDescent="0.2">
      <c r="A106" t="s">
        <v>23</v>
      </c>
      <c r="B106" t="s">
        <v>22</v>
      </c>
      <c r="C106" t="s">
        <v>21</v>
      </c>
      <c r="D106" t="s">
        <v>20</v>
      </c>
      <c r="E106" t="s">
        <v>78</v>
      </c>
      <c r="F106" t="s">
        <v>77</v>
      </c>
      <c r="G106" t="s">
        <v>16</v>
      </c>
      <c r="H106" t="s">
        <v>17</v>
      </c>
      <c r="I106" t="s">
        <v>16</v>
      </c>
      <c r="J106" t="s">
        <v>15</v>
      </c>
      <c r="K106" t="s">
        <v>14</v>
      </c>
      <c r="L106" t="s">
        <v>13</v>
      </c>
      <c r="M106" t="s">
        <v>5</v>
      </c>
      <c r="N106" t="s">
        <v>4</v>
      </c>
      <c r="O106" t="s">
        <v>12</v>
      </c>
      <c r="P106" t="s">
        <v>11</v>
      </c>
      <c r="Q106" t="s">
        <v>10</v>
      </c>
      <c r="R106" t="s">
        <v>9</v>
      </c>
      <c r="S106" t="s">
        <v>8</v>
      </c>
      <c r="T106" t="s">
        <v>7</v>
      </c>
      <c r="U106" t="s">
        <v>3</v>
      </c>
      <c r="V106" t="s">
        <v>6</v>
      </c>
      <c r="W106">
        <v>2023</v>
      </c>
      <c r="Y106">
        <v>0.43982789</v>
      </c>
      <c r="AA106" t="s">
        <v>5</v>
      </c>
      <c r="AB106" t="s">
        <v>4</v>
      </c>
      <c r="AC106">
        <v>2023</v>
      </c>
      <c r="AE106" t="s">
        <v>3</v>
      </c>
      <c r="AF106" t="s">
        <v>2</v>
      </c>
      <c r="AG106">
        <v>0</v>
      </c>
      <c r="AH106" t="s">
        <v>1</v>
      </c>
      <c r="AI106">
        <v>2</v>
      </c>
      <c r="AJ106" t="s">
        <v>0</v>
      </c>
    </row>
    <row r="107" spans="1:36" x14ac:dyDescent="0.2">
      <c r="A107" t="s">
        <v>23</v>
      </c>
      <c r="B107" t="s">
        <v>22</v>
      </c>
      <c r="C107" t="s">
        <v>21</v>
      </c>
      <c r="D107" t="s">
        <v>20</v>
      </c>
      <c r="E107" t="s">
        <v>76</v>
      </c>
      <c r="F107" t="s">
        <v>75</v>
      </c>
      <c r="G107" t="s">
        <v>16</v>
      </c>
      <c r="H107" t="s">
        <v>17</v>
      </c>
      <c r="I107" t="s">
        <v>16</v>
      </c>
      <c r="J107" t="s">
        <v>15</v>
      </c>
      <c r="K107" t="s">
        <v>14</v>
      </c>
      <c r="L107" t="s">
        <v>13</v>
      </c>
      <c r="M107" t="s">
        <v>5</v>
      </c>
      <c r="N107" t="s">
        <v>4</v>
      </c>
      <c r="O107" t="s">
        <v>12</v>
      </c>
      <c r="P107" t="s">
        <v>11</v>
      </c>
      <c r="Q107" t="s">
        <v>10</v>
      </c>
      <c r="R107" t="s">
        <v>9</v>
      </c>
      <c r="S107" t="s">
        <v>8</v>
      </c>
      <c r="T107" t="s">
        <v>7</v>
      </c>
      <c r="U107" t="s">
        <v>3</v>
      </c>
      <c r="V107" t="s">
        <v>6</v>
      </c>
      <c r="W107">
        <v>2023</v>
      </c>
      <c r="Y107">
        <v>60.509453000000001</v>
      </c>
      <c r="AA107" t="s">
        <v>5</v>
      </c>
      <c r="AB107" t="s">
        <v>4</v>
      </c>
      <c r="AC107">
        <v>2023</v>
      </c>
      <c r="AE107" t="s">
        <v>3</v>
      </c>
      <c r="AF107" t="s">
        <v>2</v>
      </c>
      <c r="AG107">
        <v>0</v>
      </c>
      <c r="AH107" t="s">
        <v>1</v>
      </c>
      <c r="AI107">
        <v>2</v>
      </c>
      <c r="AJ107" t="s">
        <v>0</v>
      </c>
    </row>
    <row r="108" spans="1:36" x14ac:dyDescent="0.2">
      <c r="A108" t="s">
        <v>23</v>
      </c>
      <c r="B108" t="s">
        <v>22</v>
      </c>
      <c r="C108" t="s">
        <v>21</v>
      </c>
      <c r="D108" t="s">
        <v>20</v>
      </c>
      <c r="E108" t="s">
        <v>74</v>
      </c>
      <c r="F108" t="s">
        <v>284</v>
      </c>
      <c r="G108" t="s">
        <v>16</v>
      </c>
      <c r="H108" t="s">
        <v>17</v>
      </c>
      <c r="I108" t="s">
        <v>16</v>
      </c>
      <c r="J108" t="s">
        <v>15</v>
      </c>
      <c r="K108" t="s">
        <v>14</v>
      </c>
      <c r="L108" t="s">
        <v>13</v>
      </c>
      <c r="M108" t="s">
        <v>5</v>
      </c>
      <c r="N108" t="s">
        <v>4</v>
      </c>
      <c r="O108" t="s">
        <v>12</v>
      </c>
      <c r="P108" t="s">
        <v>11</v>
      </c>
      <c r="Q108" t="s">
        <v>10</v>
      </c>
      <c r="R108" t="s">
        <v>9</v>
      </c>
      <c r="S108" t="s">
        <v>8</v>
      </c>
      <c r="T108" t="s">
        <v>7</v>
      </c>
      <c r="U108" t="s">
        <v>3</v>
      </c>
      <c r="V108" t="s">
        <v>6</v>
      </c>
      <c r="W108">
        <v>2023</v>
      </c>
      <c r="Y108">
        <v>8.6312990000000003</v>
      </c>
      <c r="AA108" t="s">
        <v>5</v>
      </c>
      <c r="AB108" t="s">
        <v>4</v>
      </c>
      <c r="AC108">
        <v>2023</v>
      </c>
      <c r="AE108" t="s">
        <v>3</v>
      </c>
      <c r="AF108" t="s">
        <v>2</v>
      </c>
      <c r="AG108">
        <v>0</v>
      </c>
      <c r="AH108" t="s">
        <v>1</v>
      </c>
      <c r="AI108">
        <v>2</v>
      </c>
      <c r="AJ108" t="s">
        <v>0</v>
      </c>
    </row>
    <row r="109" spans="1:36" x14ac:dyDescent="0.2">
      <c r="A109" t="s">
        <v>23</v>
      </c>
      <c r="B109" t="s">
        <v>22</v>
      </c>
      <c r="C109" t="s">
        <v>21</v>
      </c>
      <c r="D109" t="s">
        <v>20</v>
      </c>
      <c r="E109" t="s">
        <v>73</v>
      </c>
      <c r="F109" t="s">
        <v>72</v>
      </c>
      <c r="G109" t="s">
        <v>16</v>
      </c>
      <c r="H109" t="s">
        <v>17</v>
      </c>
      <c r="I109" t="s">
        <v>16</v>
      </c>
      <c r="J109" t="s">
        <v>15</v>
      </c>
      <c r="K109" t="s">
        <v>14</v>
      </c>
      <c r="L109" t="s">
        <v>13</v>
      </c>
      <c r="M109" t="s">
        <v>5</v>
      </c>
      <c r="N109" t="s">
        <v>4</v>
      </c>
      <c r="O109" t="s">
        <v>12</v>
      </c>
      <c r="P109" t="s">
        <v>11</v>
      </c>
      <c r="Q109" t="s">
        <v>10</v>
      </c>
      <c r="R109" t="s">
        <v>9</v>
      </c>
      <c r="S109" t="s">
        <v>8</v>
      </c>
      <c r="T109" t="s">
        <v>7</v>
      </c>
      <c r="U109" t="s">
        <v>3</v>
      </c>
      <c r="V109" t="s">
        <v>6</v>
      </c>
      <c r="W109">
        <v>2023</v>
      </c>
      <c r="Y109">
        <v>69.537514000000002</v>
      </c>
      <c r="AA109" t="s">
        <v>5</v>
      </c>
      <c r="AB109" t="s">
        <v>4</v>
      </c>
      <c r="AC109">
        <v>2023</v>
      </c>
      <c r="AE109" t="s">
        <v>3</v>
      </c>
      <c r="AF109" t="s">
        <v>2</v>
      </c>
      <c r="AG109">
        <v>0</v>
      </c>
      <c r="AH109" t="s">
        <v>1</v>
      </c>
      <c r="AI109">
        <v>2</v>
      </c>
      <c r="AJ109" t="s">
        <v>0</v>
      </c>
    </row>
    <row r="110" spans="1:36" x14ac:dyDescent="0.2">
      <c r="A110" t="s">
        <v>23</v>
      </c>
      <c r="B110" t="s">
        <v>22</v>
      </c>
      <c r="C110" t="s">
        <v>21</v>
      </c>
      <c r="D110" t="s">
        <v>20</v>
      </c>
      <c r="E110" t="s">
        <v>71</v>
      </c>
      <c r="F110" t="s">
        <v>70</v>
      </c>
      <c r="G110" t="s">
        <v>16</v>
      </c>
      <c r="H110" t="s">
        <v>17</v>
      </c>
      <c r="I110" t="s">
        <v>16</v>
      </c>
      <c r="J110" t="s">
        <v>15</v>
      </c>
      <c r="K110" t="s">
        <v>14</v>
      </c>
      <c r="L110" t="s">
        <v>13</v>
      </c>
      <c r="M110" t="s">
        <v>5</v>
      </c>
      <c r="N110" t="s">
        <v>4</v>
      </c>
      <c r="O110" t="s">
        <v>12</v>
      </c>
      <c r="P110" t="s">
        <v>11</v>
      </c>
      <c r="Q110" t="s">
        <v>10</v>
      </c>
      <c r="R110" t="s">
        <v>9</v>
      </c>
      <c r="S110" t="s">
        <v>8</v>
      </c>
      <c r="T110" t="s">
        <v>7</v>
      </c>
      <c r="U110" t="s">
        <v>3</v>
      </c>
      <c r="V110" t="s">
        <v>6</v>
      </c>
      <c r="W110">
        <v>2023</v>
      </c>
      <c r="Y110">
        <v>81.570091000000005</v>
      </c>
      <c r="AA110" t="s">
        <v>5</v>
      </c>
      <c r="AB110" t="s">
        <v>4</v>
      </c>
      <c r="AC110">
        <v>2023</v>
      </c>
      <c r="AE110" t="s">
        <v>3</v>
      </c>
      <c r="AF110" t="s">
        <v>2</v>
      </c>
      <c r="AG110">
        <v>0</v>
      </c>
      <c r="AH110" t="s">
        <v>1</v>
      </c>
      <c r="AI110">
        <v>2</v>
      </c>
      <c r="AJ110" t="s">
        <v>0</v>
      </c>
    </row>
    <row r="111" spans="1:36" x14ac:dyDescent="0.2">
      <c r="A111" t="s">
        <v>23</v>
      </c>
      <c r="B111" t="s">
        <v>22</v>
      </c>
      <c r="C111" t="s">
        <v>21</v>
      </c>
      <c r="D111" t="s">
        <v>20</v>
      </c>
      <c r="E111" t="s">
        <v>69</v>
      </c>
      <c r="F111" t="s">
        <v>68</v>
      </c>
      <c r="G111" t="s">
        <v>16</v>
      </c>
      <c r="H111" t="s">
        <v>17</v>
      </c>
      <c r="I111" t="s">
        <v>16</v>
      </c>
      <c r="J111" t="s">
        <v>15</v>
      </c>
      <c r="K111" t="s">
        <v>14</v>
      </c>
      <c r="L111" t="s">
        <v>13</v>
      </c>
      <c r="M111" t="s">
        <v>5</v>
      </c>
      <c r="N111" t="s">
        <v>4</v>
      </c>
      <c r="O111" t="s">
        <v>12</v>
      </c>
      <c r="P111" t="s">
        <v>11</v>
      </c>
      <c r="Q111" t="s">
        <v>10</v>
      </c>
      <c r="R111" t="s">
        <v>9</v>
      </c>
      <c r="S111" t="s">
        <v>8</v>
      </c>
      <c r="T111" t="s">
        <v>7</v>
      </c>
      <c r="U111" t="s">
        <v>3</v>
      </c>
      <c r="V111" t="s">
        <v>6</v>
      </c>
      <c r="W111">
        <v>2023</v>
      </c>
      <c r="Y111">
        <v>14.999579000000001</v>
      </c>
      <c r="AA111" t="s">
        <v>5</v>
      </c>
      <c r="AB111" t="s">
        <v>4</v>
      </c>
      <c r="AC111">
        <v>2023</v>
      </c>
      <c r="AE111" t="s">
        <v>3</v>
      </c>
      <c r="AF111" t="s">
        <v>2</v>
      </c>
      <c r="AG111">
        <v>0</v>
      </c>
      <c r="AH111" t="s">
        <v>1</v>
      </c>
      <c r="AI111">
        <v>2</v>
      </c>
      <c r="AJ111" t="s">
        <v>0</v>
      </c>
    </row>
    <row r="112" spans="1:36" x14ac:dyDescent="0.2">
      <c r="A112" t="s">
        <v>23</v>
      </c>
      <c r="B112" t="s">
        <v>22</v>
      </c>
      <c r="C112" t="s">
        <v>21</v>
      </c>
      <c r="D112" t="s">
        <v>20</v>
      </c>
      <c r="E112" t="s">
        <v>67</v>
      </c>
      <c r="F112" t="s">
        <v>66</v>
      </c>
      <c r="G112" t="s">
        <v>16</v>
      </c>
      <c r="H112" t="s">
        <v>17</v>
      </c>
      <c r="I112" t="s">
        <v>16</v>
      </c>
      <c r="J112" t="s">
        <v>15</v>
      </c>
      <c r="K112" t="s">
        <v>14</v>
      </c>
      <c r="L112" t="s">
        <v>13</v>
      </c>
      <c r="M112" t="s">
        <v>5</v>
      </c>
      <c r="N112" t="s">
        <v>4</v>
      </c>
      <c r="O112" t="s">
        <v>12</v>
      </c>
      <c r="P112" t="s">
        <v>11</v>
      </c>
      <c r="Q112" t="s">
        <v>10</v>
      </c>
      <c r="R112" t="s">
        <v>9</v>
      </c>
      <c r="S112" t="s">
        <v>8</v>
      </c>
      <c r="T112" t="s">
        <v>7</v>
      </c>
      <c r="U112" t="s">
        <v>3</v>
      </c>
      <c r="V112" t="s">
        <v>6</v>
      </c>
      <c r="W112">
        <v>2023</v>
      </c>
      <c r="Y112">
        <v>18.661732000000001</v>
      </c>
      <c r="AA112" t="s">
        <v>5</v>
      </c>
      <c r="AB112" t="s">
        <v>4</v>
      </c>
      <c r="AC112">
        <v>2023</v>
      </c>
      <c r="AE112" t="s">
        <v>3</v>
      </c>
      <c r="AF112" t="s">
        <v>2</v>
      </c>
      <c r="AG112">
        <v>0</v>
      </c>
      <c r="AH112" t="s">
        <v>1</v>
      </c>
      <c r="AI112">
        <v>2</v>
      </c>
      <c r="AJ112" t="s">
        <v>0</v>
      </c>
    </row>
    <row r="113" spans="1:36" x14ac:dyDescent="0.2">
      <c r="A113" t="s">
        <v>23</v>
      </c>
      <c r="B113" t="s">
        <v>22</v>
      </c>
      <c r="C113" t="s">
        <v>21</v>
      </c>
      <c r="D113" t="s">
        <v>20</v>
      </c>
      <c r="E113" t="s">
        <v>65</v>
      </c>
      <c r="F113" t="s">
        <v>64</v>
      </c>
      <c r="G113" t="s">
        <v>16</v>
      </c>
      <c r="H113" t="s">
        <v>17</v>
      </c>
      <c r="I113" t="s">
        <v>16</v>
      </c>
      <c r="J113" t="s">
        <v>15</v>
      </c>
      <c r="K113" t="s">
        <v>14</v>
      </c>
      <c r="L113" t="s">
        <v>13</v>
      </c>
      <c r="M113" t="s">
        <v>5</v>
      </c>
      <c r="N113" t="s">
        <v>4</v>
      </c>
      <c r="O113" t="s">
        <v>12</v>
      </c>
      <c r="P113" t="s">
        <v>11</v>
      </c>
      <c r="Q113" t="s">
        <v>10</v>
      </c>
      <c r="R113" t="s">
        <v>9</v>
      </c>
      <c r="S113" t="s">
        <v>8</v>
      </c>
      <c r="T113" t="s">
        <v>7</v>
      </c>
      <c r="U113" t="s">
        <v>3</v>
      </c>
      <c r="V113" t="s">
        <v>6</v>
      </c>
      <c r="W113">
        <v>2023</v>
      </c>
      <c r="Y113">
        <v>11.460323000000001</v>
      </c>
      <c r="AA113" t="s">
        <v>5</v>
      </c>
      <c r="AB113" t="s">
        <v>4</v>
      </c>
      <c r="AC113">
        <v>2023</v>
      </c>
      <c r="AE113" t="s">
        <v>3</v>
      </c>
      <c r="AF113" t="s">
        <v>2</v>
      </c>
      <c r="AG113">
        <v>0</v>
      </c>
      <c r="AH113" t="s">
        <v>1</v>
      </c>
      <c r="AI113">
        <v>2</v>
      </c>
      <c r="AJ113" t="s">
        <v>0</v>
      </c>
    </row>
    <row r="114" spans="1:36" x14ac:dyDescent="0.2">
      <c r="A114" t="s">
        <v>23</v>
      </c>
      <c r="B114" t="s">
        <v>22</v>
      </c>
      <c r="C114" t="s">
        <v>21</v>
      </c>
      <c r="D114" t="s">
        <v>20</v>
      </c>
      <c r="E114" t="s">
        <v>63</v>
      </c>
      <c r="F114" t="s">
        <v>62</v>
      </c>
      <c r="G114" t="s">
        <v>16</v>
      </c>
      <c r="H114" t="s">
        <v>17</v>
      </c>
      <c r="I114" t="s">
        <v>16</v>
      </c>
      <c r="J114" t="s">
        <v>15</v>
      </c>
      <c r="K114" t="s">
        <v>14</v>
      </c>
      <c r="L114" t="s">
        <v>13</v>
      </c>
      <c r="M114" t="s">
        <v>5</v>
      </c>
      <c r="N114" t="s">
        <v>4</v>
      </c>
      <c r="O114" t="s">
        <v>12</v>
      </c>
      <c r="P114" t="s">
        <v>11</v>
      </c>
      <c r="Q114" t="s">
        <v>10</v>
      </c>
      <c r="R114" t="s">
        <v>9</v>
      </c>
      <c r="S114" t="s">
        <v>8</v>
      </c>
      <c r="T114" t="s">
        <v>7</v>
      </c>
      <c r="U114" t="s">
        <v>3</v>
      </c>
      <c r="V114" t="s">
        <v>6</v>
      </c>
      <c r="W114">
        <v>2023</v>
      </c>
      <c r="Y114">
        <v>8.0938739999999996</v>
      </c>
      <c r="AA114" t="s">
        <v>5</v>
      </c>
      <c r="AB114" t="s">
        <v>4</v>
      </c>
      <c r="AC114">
        <v>2023</v>
      </c>
      <c r="AE114" t="s">
        <v>3</v>
      </c>
      <c r="AF114" t="s">
        <v>2</v>
      </c>
      <c r="AG114">
        <v>0</v>
      </c>
      <c r="AH114" t="s">
        <v>1</v>
      </c>
      <c r="AI114">
        <v>2</v>
      </c>
      <c r="AJ114" t="s">
        <v>0</v>
      </c>
    </row>
    <row r="115" spans="1:36" x14ac:dyDescent="0.2">
      <c r="A115" t="s">
        <v>23</v>
      </c>
      <c r="B115" t="s">
        <v>22</v>
      </c>
      <c r="C115" t="s">
        <v>21</v>
      </c>
      <c r="D115" t="s">
        <v>20</v>
      </c>
      <c r="E115" t="s">
        <v>61</v>
      </c>
      <c r="F115" t="s">
        <v>60</v>
      </c>
      <c r="G115" t="s">
        <v>16</v>
      </c>
      <c r="H115" t="s">
        <v>17</v>
      </c>
      <c r="I115" t="s">
        <v>16</v>
      </c>
      <c r="J115" t="s">
        <v>15</v>
      </c>
      <c r="K115" t="s">
        <v>14</v>
      </c>
      <c r="L115" t="s">
        <v>13</v>
      </c>
      <c r="M115" t="s">
        <v>5</v>
      </c>
      <c r="N115" t="s">
        <v>4</v>
      </c>
      <c r="O115" t="s">
        <v>12</v>
      </c>
      <c r="P115" t="s">
        <v>11</v>
      </c>
      <c r="Q115" t="s">
        <v>10</v>
      </c>
      <c r="R115" t="s">
        <v>9</v>
      </c>
      <c r="S115" t="s">
        <v>8</v>
      </c>
      <c r="T115" t="s">
        <v>7</v>
      </c>
      <c r="U115" t="s">
        <v>3</v>
      </c>
      <c r="V115" t="s">
        <v>6</v>
      </c>
      <c r="W115">
        <v>2023</v>
      </c>
      <c r="Y115">
        <v>32.713000999999998</v>
      </c>
      <c r="AA115" t="s">
        <v>5</v>
      </c>
      <c r="AB115" t="s">
        <v>4</v>
      </c>
      <c r="AC115">
        <v>2023</v>
      </c>
      <c r="AE115" t="s">
        <v>3</v>
      </c>
      <c r="AF115" t="s">
        <v>2</v>
      </c>
      <c r="AG115">
        <v>0</v>
      </c>
      <c r="AH115" t="s">
        <v>1</v>
      </c>
      <c r="AI115">
        <v>2</v>
      </c>
      <c r="AJ115" t="s">
        <v>0</v>
      </c>
    </row>
    <row r="116" spans="1:36" x14ac:dyDescent="0.2">
      <c r="A116" t="s">
        <v>23</v>
      </c>
      <c r="B116" t="s">
        <v>22</v>
      </c>
      <c r="C116" t="s">
        <v>21</v>
      </c>
      <c r="D116" t="s">
        <v>20</v>
      </c>
      <c r="E116" t="s">
        <v>59</v>
      </c>
      <c r="F116" t="s">
        <v>58</v>
      </c>
      <c r="G116" t="s">
        <v>16</v>
      </c>
      <c r="H116" t="s">
        <v>17</v>
      </c>
      <c r="I116" t="s">
        <v>16</v>
      </c>
      <c r="J116" t="s">
        <v>15</v>
      </c>
      <c r="K116" t="s">
        <v>14</v>
      </c>
      <c r="L116" t="s">
        <v>13</v>
      </c>
      <c r="M116" t="s">
        <v>5</v>
      </c>
      <c r="N116" t="s">
        <v>4</v>
      </c>
      <c r="O116" t="s">
        <v>12</v>
      </c>
      <c r="P116" t="s">
        <v>11</v>
      </c>
      <c r="Q116" t="s">
        <v>10</v>
      </c>
      <c r="R116" t="s">
        <v>9</v>
      </c>
      <c r="S116" t="s">
        <v>8</v>
      </c>
      <c r="T116" t="s">
        <v>7</v>
      </c>
      <c r="U116" t="s">
        <v>3</v>
      </c>
      <c r="V116" t="s">
        <v>6</v>
      </c>
      <c r="W116">
        <v>2023</v>
      </c>
      <c r="Y116">
        <v>13.884295</v>
      </c>
      <c r="AA116" t="s">
        <v>5</v>
      </c>
      <c r="AB116" t="s">
        <v>4</v>
      </c>
      <c r="AC116">
        <v>2023</v>
      </c>
      <c r="AE116" t="s">
        <v>3</v>
      </c>
      <c r="AF116" t="s">
        <v>2</v>
      </c>
      <c r="AG116">
        <v>0</v>
      </c>
      <c r="AH116" t="s">
        <v>1</v>
      </c>
      <c r="AI116">
        <v>2</v>
      </c>
      <c r="AJ116" t="s">
        <v>0</v>
      </c>
    </row>
    <row r="117" spans="1:36" x14ac:dyDescent="0.2">
      <c r="A117" t="s">
        <v>23</v>
      </c>
      <c r="B117" t="s">
        <v>22</v>
      </c>
      <c r="C117" t="s">
        <v>21</v>
      </c>
      <c r="D117" t="s">
        <v>20</v>
      </c>
      <c r="E117" t="s">
        <v>57</v>
      </c>
      <c r="F117" t="s">
        <v>56</v>
      </c>
      <c r="G117" t="s">
        <v>16</v>
      </c>
      <c r="H117" t="s">
        <v>17</v>
      </c>
      <c r="I117" t="s">
        <v>16</v>
      </c>
      <c r="J117" t="s">
        <v>15</v>
      </c>
      <c r="K117" t="s">
        <v>14</v>
      </c>
      <c r="L117" t="s">
        <v>13</v>
      </c>
      <c r="M117" t="s">
        <v>5</v>
      </c>
      <c r="N117" t="s">
        <v>4</v>
      </c>
      <c r="O117" t="s">
        <v>12</v>
      </c>
      <c r="P117" t="s">
        <v>11</v>
      </c>
      <c r="Q117" t="s">
        <v>10</v>
      </c>
      <c r="R117" t="s">
        <v>9</v>
      </c>
      <c r="S117" t="s">
        <v>8</v>
      </c>
      <c r="T117" t="s">
        <v>7</v>
      </c>
      <c r="U117" t="s">
        <v>3</v>
      </c>
      <c r="V117" t="s">
        <v>6</v>
      </c>
      <c r="W117">
        <v>2023</v>
      </c>
      <c r="Y117">
        <v>4.2888875000000004</v>
      </c>
      <c r="AA117" t="s">
        <v>5</v>
      </c>
      <c r="AB117" t="s">
        <v>4</v>
      </c>
      <c r="AC117">
        <v>2023</v>
      </c>
      <c r="AE117" t="s">
        <v>3</v>
      </c>
      <c r="AF117" t="s">
        <v>2</v>
      </c>
      <c r="AG117">
        <v>0</v>
      </c>
      <c r="AH117" t="s">
        <v>1</v>
      </c>
      <c r="AI117">
        <v>2</v>
      </c>
      <c r="AJ117" t="s">
        <v>0</v>
      </c>
    </row>
    <row r="118" spans="1:36" x14ac:dyDescent="0.2">
      <c r="A118" t="s">
        <v>23</v>
      </c>
      <c r="B118" t="s">
        <v>22</v>
      </c>
      <c r="C118" t="s">
        <v>21</v>
      </c>
      <c r="D118" t="s">
        <v>20</v>
      </c>
      <c r="E118" t="s">
        <v>55</v>
      </c>
      <c r="F118" t="s">
        <v>54</v>
      </c>
      <c r="G118" t="s">
        <v>16</v>
      </c>
      <c r="H118" t="s">
        <v>17</v>
      </c>
      <c r="I118" t="s">
        <v>16</v>
      </c>
      <c r="J118" t="s">
        <v>15</v>
      </c>
      <c r="K118" t="s">
        <v>14</v>
      </c>
      <c r="L118" t="s">
        <v>13</v>
      </c>
      <c r="M118" t="s">
        <v>5</v>
      </c>
      <c r="N118" t="s">
        <v>4</v>
      </c>
      <c r="O118" t="s">
        <v>12</v>
      </c>
      <c r="P118" t="s">
        <v>11</v>
      </c>
      <c r="Q118" t="s">
        <v>10</v>
      </c>
      <c r="R118" t="s">
        <v>9</v>
      </c>
      <c r="S118" t="s">
        <v>8</v>
      </c>
      <c r="T118" t="s">
        <v>7</v>
      </c>
      <c r="U118" t="s">
        <v>3</v>
      </c>
      <c r="V118" t="s">
        <v>6</v>
      </c>
      <c r="W118">
        <v>2023</v>
      </c>
      <c r="Y118">
        <v>86.295029</v>
      </c>
      <c r="AA118" t="s">
        <v>5</v>
      </c>
      <c r="AB118" t="s">
        <v>4</v>
      </c>
      <c r="AC118">
        <v>2023</v>
      </c>
      <c r="AE118" t="s">
        <v>3</v>
      </c>
      <c r="AF118" t="s">
        <v>2</v>
      </c>
      <c r="AG118">
        <v>0</v>
      </c>
      <c r="AH118" t="s">
        <v>1</v>
      </c>
      <c r="AI118">
        <v>2</v>
      </c>
      <c r="AJ118" t="s">
        <v>0</v>
      </c>
    </row>
    <row r="119" spans="1:36" x14ac:dyDescent="0.2">
      <c r="A119" t="s">
        <v>23</v>
      </c>
      <c r="B119" t="s">
        <v>22</v>
      </c>
      <c r="C119" t="s">
        <v>21</v>
      </c>
      <c r="D119" t="s">
        <v>20</v>
      </c>
      <c r="E119" t="s">
        <v>53</v>
      </c>
      <c r="F119" t="s">
        <v>52</v>
      </c>
      <c r="G119" t="s">
        <v>16</v>
      </c>
      <c r="H119" t="s">
        <v>17</v>
      </c>
      <c r="I119" t="s">
        <v>16</v>
      </c>
      <c r="J119" t="s">
        <v>15</v>
      </c>
      <c r="K119" t="s">
        <v>14</v>
      </c>
      <c r="L119" t="s">
        <v>13</v>
      </c>
      <c r="M119" t="s">
        <v>5</v>
      </c>
      <c r="N119" t="s">
        <v>4</v>
      </c>
      <c r="O119" t="s">
        <v>12</v>
      </c>
      <c r="P119" t="s">
        <v>11</v>
      </c>
      <c r="Q119" t="s">
        <v>10</v>
      </c>
      <c r="R119" t="s">
        <v>9</v>
      </c>
      <c r="S119" t="s">
        <v>8</v>
      </c>
      <c r="T119" t="s">
        <v>7</v>
      </c>
      <c r="U119" t="s">
        <v>3</v>
      </c>
      <c r="V119" t="s">
        <v>6</v>
      </c>
      <c r="W119">
        <v>2023</v>
      </c>
      <c r="Y119">
        <v>17.463127</v>
      </c>
      <c r="AA119" t="s">
        <v>5</v>
      </c>
      <c r="AB119" t="s">
        <v>4</v>
      </c>
      <c r="AC119">
        <v>2023</v>
      </c>
      <c r="AE119" t="s">
        <v>3</v>
      </c>
      <c r="AF119" t="s">
        <v>2</v>
      </c>
      <c r="AG119">
        <v>0</v>
      </c>
      <c r="AH119" t="s">
        <v>1</v>
      </c>
      <c r="AI119">
        <v>2</v>
      </c>
      <c r="AJ119" t="s">
        <v>0</v>
      </c>
    </row>
    <row r="120" spans="1:36" x14ac:dyDescent="0.2">
      <c r="A120" t="s">
        <v>23</v>
      </c>
      <c r="B120" t="s">
        <v>22</v>
      </c>
      <c r="C120" t="s">
        <v>21</v>
      </c>
      <c r="D120" t="s">
        <v>20</v>
      </c>
      <c r="E120" t="s">
        <v>51</v>
      </c>
      <c r="F120" t="s">
        <v>50</v>
      </c>
      <c r="G120" t="s">
        <v>16</v>
      </c>
      <c r="H120" t="s">
        <v>17</v>
      </c>
      <c r="I120" t="s">
        <v>16</v>
      </c>
      <c r="J120" t="s">
        <v>15</v>
      </c>
      <c r="K120" t="s">
        <v>14</v>
      </c>
      <c r="L120" t="s">
        <v>13</v>
      </c>
      <c r="M120" t="s">
        <v>5</v>
      </c>
      <c r="N120" t="s">
        <v>4</v>
      </c>
      <c r="O120" t="s">
        <v>12</v>
      </c>
      <c r="P120" t="s">
        <v>11</v>
      </c>
      <c r="Q120" t="s">
        <v>10</v>
      </c>
      <c r="R120" t="s">
        <v>9</v>
      </c>
      <c r="S120" t="s">
        <v>8</v>
      </c>
      <c r="T120" t="s">
        <v>7</v>
      </c>
      <c r="U120" t="s">
        <v>3</v>
      </c>
      <c r="V120" t="s">
        <v>6</v>
      </c>
      <c r="W120">
        <v>2023</v>
      </c>
      <c r="Y120">
        <v>6.9162420999999998</v>
      </c>
      <c r="AA120" t="s">
        <v>5</v>
      </c>
      <c r="AB120" t="s">
        <v>4</v>
      </c>
      <c r="AC120">
        <v>2023</v>
      </c>
      <c r="AE120" t="s">
        <v>3</v>
      </c>
      <c r="AF120" t="s">
        <v>2</v>
      </c>
      <c r="AG120">
        <v>0</v>
      </c>
      <c r="AH120" t="s">
        <v>1</v>
      </c>
      <c r="AI120">
        <v>2</v>
      </c>
      <c r="AJ120" t="s">
        <v>0</v>
      </c>
    </row>
    <row r="121" spans="1:36" x14ac:dyDescent="0.2">
      <c r="A121" t="s">
        <v>23</v>
      </c>
      <c r="B121" t="s">
        <v>22</v>
      </c>
      <c r="C121" t="s">
        <v>21</v>
      </c>
      <c r="D121" t="s">
        <v>20</v>
      </c>
      <c r="E121" t="s">
        <v>49</v>
      </c>
      <c r="F121" t="s">
        <v>48</v>
      </c>
      <c r="G121" t="s">
        <v>16</v>
      </c>
      <c r="H121" t="s">
        <v>17</v>
      </c>
      <c r="I121" t="s">
        <v>16</v>
      </c>
      <c r="J121" t="s">
        <v>15</v>
      </c>
      <c r="K121" t="s">
        <v>14</v>
      </c>
      <c r="L121" t="s">
        <v>13</v>
      </c>
      <c r="M121" t="s">
        <v>5</v>
      </c>
      <c r="N121" t="s">
        <v>4</v>
      </c>
      <c r="O121" t="s">
        <v>12</v>
      </c>
      <c r="P121" t="s">
        <v>11</v>
      </c>
      <c r="Q121" t="s">
        <v>10</v>
      </c>
      <c r="R121" t="s">
        <v>9</v>
      </c>
      <c r="S121" t="s">
        <v>8</v>
      </c>
      <c r="T121" t="s">
        <v>7</v>
      </c>
      <c r="U121" t="s">
        <v>3</v>
      </c>
      <c r="V121" t="s">
        <v>6</v>
      </c>
      <c r="W121">
        <v>2023</v>
      </c>
      <c r="Y121">
        <v>8.6564121000000007</v>
      </c>
      <c r="AA121" t="s">
        <v>5</v>
      </c>
      <c r="AB121" t="s">
        <v>4</v>
      </c>
      <c r="AC121">
        <v>2023</v>
      </c>
      <c r="AE121" t="s">
        <v>3</v>
      </c>
      <c r="AF121" t="s">
        <v>2</v>
      </c>
      <c r="AG121">
        <v>0</v>
      </c>
      <c r="AH121" t="s">
        <v>1</v>
      </c>
      <c r="AI121">
        <v>2</v>
      </c>
      <c r="AJ121" t="s">
        <v>0</v>
      </c>
    </row>
    <row r="122" spans="1:36" x14ac:dyDescent="0.2">
      <c r="A122" t="s">
        <v>23</v>
      </c>
      <c r="B122" t="s">
        <v>22</v>
      </c>
      <c r="C122" t="s">
        <v>21</v>
      </c>
      <c r="D122" t="s">
        <v>20</v>
      </c>
      <c r="E122" t="s">
        <v>47</v>
      </c>
      <c r="F122" t="s">
        <v>46</v>
      </c>
      <c r="G122" t="s">
        <v>16</v>
      </c>
      <c r="H122" t="s">
        <v>17</v>
      </c>
      <c r="I122" t="s">
        <v>16</v>
      </c>
      <c r="J122" t="s">
        <v>15</v>
      </c>
      <c r="K122" t="s">
        <v>14</v>
      </c>
      <c r="L122" t="s">
        <v>13</v>
      </c>
      <c r="M122" t="s">
        <v>5</v>
      </c>
      <c r="N122" t="s">
        <v>4</v>
      </c>
      <c r="O122" t="s">
        <v>12</v>
      </c>
      <c r="P122" t="s">
        <v>11</v>
      </c>
      <c r="Q122" t="s">
        <v>10</v>
      </c>
      <c r="R122" t="s">
        <v>9</v>
      </c>
      <c r="S122" t="s">
        <v>8</v>
      </c>
      <c r="T122" t="s">
        <v>7</v>
      </c>
      <c r="U122" t="s">
        <v>3</v>
      </c>
      <c r="V122" t="s">
        <v>6</v>
      </c>
      <c r="W122">
        <v>2023</v>
      </c>
      <c r="Y122">
        <v>9.7818650999999992</v>
      </c>
      <c r="AA122" t="s">
        <v>5</v>
      </c>
      <c r="AB122" t="s">
        <v>4</v>
      </c>
      <c r="AC122">
        <v>2023</v>
      </c>
      <c r="AE122" t="s">
        <v>3</v>
      </c>
      <c r="AF122" t="s">
        <v>2</v>
      </c>
      <c r="AG122">
        <v>0</v>
      </c>
      <c r="AH122" t="s">
        <v>1</v>
      </c>
      <c r="AI122">
        <v>2</v>
      </c>
      <c r="AJ122" t="s">
        <v>0</v>
      </c>
    </row>
    <row r="123" spans="1:36" x14ac:dyDescent="0.2">
      <c r="A123" t="s">
        <v>23</v>
      </c>
      <c r="B123" t="s">
        <v>22</v>
      </c>
      <c r="C123" t="s">
        <v>21</v>
      </c>
      <c r="D123" t="s">
        <v>20</v>
      </c>
      <c r="E123" t="s">
        <v>45</v>
      </c>
      <c r="F123" t="s">
        <v>44</v>
      </c>
      <c r="G123" t="s">
        <v>16</v>
      </c>
      <c r="H123" t="s">
        <v>17</v>
      </c>
      <c r="I123" t="s">
        <v>16</v>
      </c>
      <c r="J123" t="s">
        <v>15</v>
      </c>
      <c r="K123" t="s">
        <v>14</v>
      </c>
      <c r="L123" t="s">
        <v>13</v>
      </c>
      <c r="M123" t="s">
        <v>5</v>
      </c>
      <c r="N123" t="s">
        <v>4</v>
      </c>
      <c r="O123" t="s">
        <v>12</v>
      </c>
      <c r="P123" t="s">
        <v>11</v>
      </c>
      <c r="Q123" t="s">
        <v>10</v>
      </c>
      <c r="R123" t="s">
        <v>9</v>
      </c>
      <c r="S123" t="s">
        <v>8</v>
      </c>
      <c r="T123" t="s">
        <v>7</v>
      </c>
      <c r="U123" t="s">
        <v>3</v>
      </c>
      <c r="V123" t="s">
        <v>6</v>
      </c>
      <c r="W123">
        <v>2023</v>
      </c>
      <c r="Y123">
        <v>9.8803491999999995</v>
      </c>
      <c r="AA123" t="s">
        <v>5</v>
      </c>
      <c r="AB123" t="s">
        <v>4</v>
      </c>
      <c r="AC123">
        <v>2023</v>
      </c>
      <c r="AE123" t="s">
        <v>3</v>
      </c>
      <c r="AF123" t="s">
        <v>2</v>
      </c>
      <c r="AG123">
        <v>0</v>
      </c>
      <c r="AH123" t="s">
        <v>1</v>
      </c>
      <c r="AI123">
        <v>2</v>
      </c>
      <c r="AJ123" t="s">
        <v>0</v>
      </c>
    </row>
    <row r="124" spans="1:36" x14ac:dyDescent="0.2">
      <c r="A124" t="s">
        <v>23</v>
      </c>
      <c r="B124" t="s">
        <v>22</v>
      </c>
      <c r="C124" t="s">
        <v>21</v>
      </c>
      <c r="D124" t="s">
        <v>20</v>
      </c>
      <c r="E124" t="s">
        <v>43</v>
      </c>
      <c r="F124" t="s">
        <v>42</v>
      </c>
      <c r="G124" t="s">
        <v>16</v>
      </c>
      <c r="H124" t="s">
        <v>17</v>
      </c>
      <c r="I124" t="s">
        <v>16</v>
      </c>
      <c r="J124" t="s">
        <v>15</v>
      </c>
      <c r="K124" t="s">
        <v>14</v>
      </c>
      <c r="L124" t="s">
        <v>13</v>
      </c>
      <c r="M124" t="s">
        <v>5</v>
      </c>
      <c r="N124" t="s">
        <v>4</v>
      </c>
      <c r="O124" t="s">
        <v>12</v>
      </c>
      <c r="P124" t="s">
        <v>11</v>
      </c>
      <c r="Q124" t="s">
        <v>10</v>
      </c>
      <c r="R124" t="s">
        <v>9</v>
      </c>
      <c r="S124" t="s">
        <v>8</v>
      </c>
      <c r="T124" t="s">
        <v>7</v>
      </c>
      <c r="U124" t="s">
        <v>3</v>
      </c>
      <c r="V124" t="s">
        <v>6</v>
      </c>
      <c r="W124">
        <v>2023</v>
      </c>
      <c r="Y124">
        <v>48.557811999999998</v>
      </c>
      <c r="AA124" t="s">
        <v>5</v>
      </c>
      <c r="AB124" t="s">
        <v>4</v>
      </c>
      <c r="AC124">
        <v>2023</v>
      </c>
      <c r="AE124" t="s">
        <v>3</v>
      </c>
      <c r="AF124" t="s">
        <v>2</v>
      </c>
      <c r="AG124">
        <v>0</v>
      </c>
      <c r="AH124" t="s">
        <v>1</v>
      </c>
      <c r="AI124">
        <v>2</v>
      </c>
      <c r="AJ124" t="s">
        <v>0</v>
      </c>
    </row>
    <row r="125" spans="1:36" x14ac:dyDescent="0.2">
      <c r="A125" t="s">
        <v>23</v>
      </c>
      <c r="B125" t="s">
        <v>22</v>
      </c>
      <c r="C125" t="s">
        <v>21</v>
      </c>
      <c r="D125" t="s">
        <v>20</v>
      </c>
      <c r="E125" t="s">
        <v>41</v>
      </c>
      <c r="F125" t="s">
        <v>40</v>
      </c>
      <c r="G125" t="s">
        <v>16</v>
      </c>
      <c r="H125" t="s">
        <v>17</v>
      </c>
      <c r="I125" t="s">
        <v>16</v>
      </c>
      <c r="J125" t="s">
        <v>15</v>
      </c>
      <c r="K125" t="s">
        <v>14</v>
      </c>
      <c r="L125" t="s">
        <v>13</v>
      </c>
      <c r="M125" t="s">
        <v>5</v>
      </c>
      <c r="N125" t="s">
        <v>4</v>
      </c>
      <c r="O125" t="s">
        <v>12</v>
      </c>
      <c r="P125" t="s">
        <v>11</v>
      </c>
      <c r="Q125" t="s">
        <v>10</v>
      </c>
      <c r="R125" t="s">
        <v>9</v>
      </c>
      <c r="S125" t="s">
        <v>8</v>
      </c>
      <c r="T125" t="s">
        <v>7</v>
      </c>
      <c r="U125" t="s">
        <v>3</v>
      </c>
      <c r="V125" t="s">
        <v>6</v>
      </c>
      <c r="W125">
        <v>2023</v>
      </c>
      <c r="Y125">
        <v>4.1177391999999999</v>
      </c>
      <c r="AA125" t="s">
        <v>5</v>
      </c>
      <c r="AB125" t="s">
        <v>4</v>
      </c>
      <c r="AC125">
        <v>2023</v>
      </c>
      <c r="AE125" t="s">
        <v>3</v>
      </c>
      <c r="AF125" t="s">
        <v>2</v>
      </c>
      <c r="AG125">
        <v>0</v>
      </c>
      <c r="AH125" t="s">
        <v>1</v>
      </c>
      <c r="AI125">
        <v>2</v>
      </c>
      <c r="AJ125" t="s">
        <v>0</v>
      </c>
    </row>
    <row r="126" spans="1:36" x14ac:dyDescent="0.2">
      <c r="A126" t="s">
        <v>23</v>
      </c>
      <c r="B126" t="s">
        <v>22</v>
      </c>
      <c r="C126" t="s">
        <v>21</v>
      </c>
      <c r="D126" t="s">
        <v>20</v>
      </c>
      <c r="E126" t="s">
        <v>39</v>
      </c>
      <c r="F126" t="s">
        <v>38</v>
      </c>
      <c r="G126" t="s">
        <v>16</v>
      </c>
      <c r="H126" t="s">
        <v>17</v>
      </c>
      <c r="I126" t="s">
        <v>16</v>
      </c>
      <c r="J126" t="s">
        <v>15</v>
      </c>
      <c r="K126" t="s">
        <v>14</v>
      </c>
      <c r="L126" t="s">
        <v>13</v>
      </c>
      <c r="M126" t="s">
        <v>5</v>
      </c>
      <c r="N126" t="s">
        <v>4</v>
      </c>
      <c r="O126" t="s">
        <v>12</v>
      </c>
      <c r="P126" t="s">
        <v>11</v>
      </c>
      <c r="Q126" t="s">
        <v>10</v>
      </c>
      <c r="R126" t="s">
        <v>9</v>
      </c>
      <c r="S126" t="s">
        <v>8</v>
      </c>
      <c r="T126" t="s">
        <v>7</v>
      </c>
      <c r="U126" t="s">
        <v>3</v>
      </c>
      <c r="V126" t="s">
        <v>6</v>
      </c>
      <c r="W126">
        <v>2023</v>
      </c>
      <c r="Y126">
        <v>13.825374</v>
      </c>
      <c r="AA126" t="s">
        <v>5</v>
      </c>
      <c r="AB126" t="s">
        <v>4</v>
      </c>
      <c r="AC126">
        <v>2023</v>
      </c>
      <c r="AE126" t="s">
        <v>3</v>
      </c>
      <c r="AF126" t="s">
        <v>2</v>
      </c>
      <c r="AG126">
        <v>0</v>
      </c>
      <c r="AH126" t="s">
        <v>1</v>
      </c>
      <c r="AI126">
        <v>2</v>
      </c>
      <c r="AJ126" t="s">
        <v>0</v>
      </c>
    </row>
    <row r="127" spans="1:36" x14ac:dyDescent="0.2">
      <c r="A127" t="s">
        <v>23</v>
      </c>
      <c r="B127" t="s">
        <v>22</v>
      </c>
      <c r="C127" t="s">
        <v>21</v>
      </c>
      <c r="D127" t="s">
        <v>20</v>
      </c>
      <c r="E127" t="s">
        <v>37</v>
      </c>
      <c r="F127" t="s">
        <v>36</v>
      </c>
      <c r="G127" t="s">
        <v>16</v>
      </c>
      <c r="H127" t="s">
        <v>17</v>
      </c>
      <c r="I127" t="s">
        <v>16</v>
      </c>
      <c r="J127" t="s">
        <v>15</v>
      </c>
      <c r="K127" t="s">
        <v>14</v>
      </c>
      <c r="L127" t="s">
        <v>13</v>
      </c>
      <c r="M127" t="s">
        <v>5</v>
      </c>
      <c r="N127" t="s">
        <v>4</v>
      </c>
      <c r="O127" t="s">
        <v>12</v>
      </c>
      <c r="P127" t="s">
        <v>11</v>
      </c>
      <c r="Q127" t="s">
        <v>10</v>
      </c>
      <c r="R127" t="s">
        <v>9</v>
      </c>
      <c r="S127" t="s">
        <v>8</v>
      </c>
      <c r="T127" t="s">
        <v>7</v>
      </c>
      <c r="U127" t="s">
        <v>3</v>
      </c>
      <c r="V127" t="s">
        <v>6</v>
      </c>
      <c r="W127">
        <v>2023</v>
      </c>
      <c r="Y127">
        <v>13.482552999999999</v>
      </c>
      <c r="AA127" t="s">
        <v>5</v>
      </c>
      <c r="AB127" t="s">
        <v>4</v>
      </c>
      <c r="AC127">
        <v>2023</v>
      </c>
      <c r="AE127" t="s">
        <v>3</v>
      </c>
      <c r="AF127" t="s">
        <v>2</v>
      </c>
      <c r="AG127">
        <v>0</v>
      </c>
      <c r="AH127" t="s">
        <v>1</v>
      </c>
      <c r="AI127">
        <v>2</v>
      </c>
      <c r="AJ127" t="s">
        <v>0</v>
      </c>
    </row>
    <row r="128" spans="1:36" x14ac:dyDescent="0.2">
      <c r="A128" t="s">
        <v>23</v>
      </c>
      <c r="B128" t="s">
        <v>22</v>
      </c>
      <c r="C128" t="s">
        <v>21</v>
      </c>
      <c r="D128" t="s">
        <v>20</v>
      </c>
      <c r="E128" t="s">
        <v>35</v>
      </c>
      <c r="F128" t="s">
        <v>34</v>
      </c>
      <c r="G128" t="s">
        <v>16</v>
      </c>
      <c r="H128" t="s">
        <v>17</v>
      </c>
      <c r="I128" t="s">
        <v>16</v>
      </c>
      <c r="J128" t="s">
        <v>15</v>
      </c>
      <c r="K128" t="s">
        <v>14</v>
      </c>
      <c r="L128" t="s">
        <v>13</v>
      </c>
      <c r="M128" t="s">
        <v>5</v>
      </c>
      <c r="N128" t="s">
        <v>4</v>
      </c>
      <c r="O128" t="s">
        <v>12</v>
      </c>
      <c r="P128" t="s">
        <v>11</v>
      </c>
      <c r="Q128" t="s">
        <v>10</v>
      </c>
      <c r="R128" t="s">
        <v>9</v>
      </c>
      <c r="S128" t="s">
        <v>8</v>
      </c>
      <c r="T128" t="s">
        <v>7</v>
      </c>
      <c r="U128" t="s">
        <v>3</v>
      </c>
      <c r="V128" t="s">
        <v>6</v>
      </c>
      <c r="W128">
        <v>2023</v>
      </c>
      <c r="Y128">
        <v>16.014624000000001</v>
      </c>
      <c r="AA128" t="s">
        <v>5</v>
      </c>
      <c r="AB128" t="s">
        <v>4</v>
      </c>
      <c r="AC128">
        <v>2023</v>
      </c>
      <c r="AE128" t="s">
        <v>3</v>
      </c>
      <c r="AF128" t="s">
        <v>2</v>
      </c>
      <c r="AG128">
        <v>0</v>
      </c>
      <c r="AH128" t="s">
        <v>1</v>
      </c>
      <c r="AI128">
        <v>2</v>
      </c>
      <c r="AJ128" t="s">
        <v>0</v>
      </c>
    </row>
    <row r="129" spans="1:36" x14ac:dyDescent="0.2">
      <c r="A129" t="s">
        <v>23</v>
      </c>
      <c r="B129" t="s">
        <v>22</v>
      </c>
      <c r="C129" t="s">
        <v>21</v>
      </c>
      <c r="D129" t="s">
        <v>20</v>
      </c>
      <c r="E129" t="s">
        <v>33</v>
      </c>
      <c r="F129" t="s">
        <v>32</v>
      </c>
      <c r="G129" t="s">
        <v>16</v>
      </c>
      <c r="H129" t="s">
        <v>17</v>
      </c>
      <c r="I129" t="s">
        <v>16</v>
      </c>
      <c r="J129" t="s">
        <v>15</v>
      </c>
      <c r="K129" t="s">
        <v>14</v>
      </c>
      <c r="L129" t="s">
        <v>13</v>
      </c>
      <c r="M129" t="s">
        <v>5</v>
      </c>
      <c r="N129" t="s">
        <v>4</v>
      </c>
      <c r="O129" t="s">
        <v>12</v>
      </c>
      <c r="P129" t="s">
        <v>11</v>
      </c>
      <c r="Q129" t="s">
        <v>10</v>
      </c>
      <c r="R129" t="s">
        <v>9</v>
      </c>
      <c r="S129" t="s">
        <v>8</v>
      </c>
      <c r="T129" t="s">
        <v>7</v>
      </c>
      <c r="U129" t="s">
        <v>3</v>
      </c>
      <c r="V129" t="s">
        <v>6</v>
      </c>
      <c r="W129">
        <v>2023</v>
      </c>
      <c r="Y129">
        <v>15.91996</v>
      </c>
      <c r="AA129" t="s">
        <v>5</v>
      </c>
      <c r="AB129" t="s">
        <v>4</v>
      </c>
      <c r="AC129">
        <v>2023</v>
      </c>
      <c r="AE129" t="s">
        <v>3</v>
      </c>
      <c r="AF129" t="s">
        <v>2</v>
      </c>
      <c r="AG129">
        <v>0</v>
      </c>
      <c r="AH129" t="s">
        <v>1</v>
      </c>
      <c r="AI129">
        <v>2</v>
      </c>
      <c r="AJ129" t="s">
        <v>0</v>
      </c>
    </row>
    <row r="130" spans="1:36" x14ac:dyDescent="0.2">
      <c r="A130" t="s">
        <v>23</v>
      </c>
      <c r="B130" t="s">
        <v>22</v>
      </c>
      <c r="C130" t="s">
        <v>21</v>
      </c>
      <c r="D130" t="s">
        <v>20</v>
      </c>
      <c r="E130" t="s">
        <v>31</v>
      </c>
      <c r="F130" t="s">
        <v>30</v>
      </c>
      <c r="G130" t="s">
        <v>16</v>
      </c>
      <c r="H130" t="s">
        <v>17</v>
      </c>
      <c r="I130" t="s">
        <v>16</v>
      </c>
      <c r="J130" t="s">
        <v>15</v>
      </c>
      <c r="K130" t="s">
        <v>14</v>
      </c>
      <c r="L130" t="s">
        <v>13</v>
      </c>
      <c r="M130" t="s">
        <v>5</v>
      </c>
      <c r="N130" t="s">
        <v>4</v>
      </c>
      <c r="O130" t="s">
        <v>12</v>
      </c>
      <c r="P130" t="s">
        <v>11</v>
      </c>
      <c r="Q130" t="s">
        <v>10</v>
      </c>
      <c r="R130" t="s">
        <v>9</v>
      </c>
      <c r="S130" t="s">
        <v>8</v>
      </c>
      <c r="T130" t="s">
        <v>7</v>
      </c>
      <c r="U130" t="s">
        <v>3</v>
      </c>
      <c r="V130" t="s">
        <v>6</v>
      </c>
      <c r="W130">
        <v>2023</v>
      </c>
      <c r="Y130">
        <v>16.260715000000001</v>
      </c>
      <c r="AA130" t="s">
        <v>5</v>
      </c>
      <c r="AB130" t="s">
        <v>4</v>
      </c>
      <c r="AC130">
        <v>2023</v>
      </c>
      <c r="AE130" t="s">
        <v>3</v>
      </c>
      <c r="AF130" t="s">
        <v>2</v>
      </c>
      <c r="AG130">
        <v>0</v>
      </c>
      <c r="AH130" t="s">
        <v>1</v>
      </c>
      <c r="AI130">
        <v>2</v>
      </c>
      <c r="AJ130" t="s">
        <v>0</v>
      </c>
    </row>
    <row r="131" spans="1:36" x14ac:dyDescent="0.2">
      <c r="A131" t="s">
        <v>23</v>
      </c>
      <c r="B131" t="s">
        <v>22</v>
      </c>
      <c r="C131" t="s">
        <v>21</v>
      </c>
      <c r="D131" t="s">
        <v>20</v>
      </c>
      <c r="E131" t="s">
        <v>29</v>
      </c>
      <c r="F131" t="s">
        <v>28</v>
      </c>
      <c r="G131" t="s">
        <v>16</v>
      </c>
      <c r="H131" t="s">
        <v>17</v>
      </c>
      <c r="I131" t="s">
        <v>16</v>
      </c>
      <c r="J131" t="s">
        <v>15</v>
      </c>
      <c r="K131" t="s">
        <v>14</v>
      </c>
      <c r="L131" t="s">
        <v>13</v>
      </c>
      <c r="M131" t="s">
        <v>5</v>
      </c>
      <c r="N131" t="s">
        <v>4</v>
      </c>
      <c r="O131" t="s">
        <v>12</v>
      </c>
      <c r="P131" t="s">
        <v>11</v>
      </c>
      <c r="Q131" t="s">
        <v>10</v>
      </c>
      <c r="R131" t="s">
        <v>9</v>
      </c>
      <c r="S131" t="s">
        <v>8</v>
      </c>
      <c r="T131" t="s">
        <v>7</v>
      </c>
      <c r="U131" t="s">
        <v>3</v>
      </c>
      <c r="V131" t="s">
        <v>6</v>
      </c>
      <c r="W131">
        <v>2023</v>
      </c>
      <c r="Y131">
        <v>2.3239043000000001</v>
      </c>
      <c r="AA131" t="s">
        <v>5</v>
      </c>
      <c r="AB131" t="s">
        <v>4</v>
      </c>
      <c r="AC131">
        <v>2023</v>
      </c>
      <c r="AE131" t="s">
        <v>3</v>
      </c>
      <c r="AF131" t="s">
        <v>2</v>
      </c>
      <c r="AG131">
        <v>0</v>
      </c>
      <c r="AH131" t="s">
        <v>1</v>
      </c>
      <c r="AI131">
        <v>2</v>
      </c>
      <c r="AJ131" t="s">
        <v>0</v>
      </c>
    </row>
    <row r="132" spans="1:36" x14ac:dyDescent="0.2">
      <c r="A132" t="s">
        <v>23</v>
      </c>
      <c r="B132" t="s">
        <v>22</v>
      </c>
      <c r="C132" t="s">
        <v>21</v>
      </c>
      <c r="D132" t="s">
        <v>20</v>
      </c>
      <c r="E132" t="s">
        <v>27</v>
      </c>
      <c r="F132" t="s">
        <v>26</v>
      </c>
      <c r="G132" t="s">
        <v>16</v>
      </c>
      <c r="H132" t="s">
        <v>17</v>
      </c>
      <c r="I132" t="s">
        <v>16</v>
      </c>
      <c r="J132" t="s">
        <v>15</v>
      </c>
      <c r="K132" t="s">
        <v>14</v>
      </c>
      <c r="L132" t="s">
        <v>13</v>
      </c>
      <c r="M132" t="s">
        <v>5</v>
      </c>
      <c r="N132" t="s">
        <v>4</v>
      </c>
      <c r="O132" t="s">
        <v>12</v>
      </c>
      <c r="P132" t="s">
        <v>11</v>
      </c>
      <c r="Q132" t="s">
        <v>10</v>
      </c>
      <c r="R132" t="s">
        <v>9</v>
      </c>
      <c r="S132" t="s">
        <v>8</v>
      </c>
      <c r="T132" t="s">
        <v>7</v>
      </c>
      <c r="U132" t="s">
        <v>3</v>
      </c>
      <c r="V132" t="s">
        <v>6</v>
      </c>
      <c r="W132">
        <v>2023</v>
      </c>
      <c r="Y132">
        <v>6.2144307999999997</v>
      </c>
      <c r="AA132" t="s">
        <v>5</v>
      </c>
      <c r="AB132" t="s">
        <v>4</v>
      </c>
      <c r="AC132">
        <v>2023</v>
      </c>
      <c r="AE132" t="s">
        <v>3</v>
      </c>
      <c r="AF132" t="s">
        <v>2</v>
      </c>
      <c r="AG132">
        <v>0</v>
      </c>
      <c r="AH132" t="s">
        <v>1</v>
      </c>
      <c r="AI132">
        <v>2</v>
      </c>
      <c r="AJ132" t="s">
        <v>0</v>
      </c>
    </row>
    <row r="133" spans="1:36" x14ac:dyDescent="0.2">
      <c r="A133" t="s">
        <v>23</v>
      </c>
      <c r="B133" t="s">
        <v>22</v>
      </c>
      <c r="C133" t="s">
        <v>21</v>
      </c>
      <c r="D133" t="s">
        <v>20</v>
      </c>
      <c r="E133" t="s">
        <v>25</v>
      </c>
      <c r="F133" t="s">
        <v>24</v>
      </c>
      <c r="G133" t="s">
        <v>16</v>
      </c>
      <c r="H133" t="s">
        <v>17</v>
      </c>
      <c r="I133" t="s">
        <v>16</v>
      </c>
      <c r="J133" t="s">
        <v>15</v>
      </c>
      <c r="K133" t="s">
        <v>14</v>
      </c>
      <c r="L133" t="s">
        <v>13</v>
      </c>
      <c r="M133" t="s">
        <v>5</v>
      </c>
      <c r="N133" t="s">
        <v>4</v>
      </c>
      <c r="O133" t="s">
        <v>12</v>
      </c>
      <c r="P133" t="s">
        <v>11</v>
      </c>
      <c r="Q133" t="s">
        <v>10</v>
      </c>
      <c r="R133" t="s">
        <v>9</v>
      </c>
      <c r="S133" t="s">
        <v>8</v>
      </c>
      <c r="T133" t="s">
        <v>7</v>
      </c>
      <c r="U133" t="s">
        <v>3</v>
      </c>
      <c r="V133" t="s">
        <v>6</v>
      </c>
      <c r="W133">
        <v>2023</v>
      </c>
      <c r="Y133">
        <v>79.990959000000004</v>
      </c>
      <c r="AA133" t="s">
        <v>5</v>
      </c>
      <c r="AB133" t="s">
        <v>4</v>
      </c>
      <c r="AC133">
        <v>2023</v>
      </c>
      <c r="AE133" t="s">
        <v>3</v>
      </c>
      <c r="AF133" t="s">
        <v>2</v>
      </c>
      <c r="AG133">
        <v>0</v>
      </c>
      <c r="AH133" t="s">
        <v>1</v>
      </c>
      <c r="AI133">
        <v>2</v>
      </c>
      <c r="AJ133" t="s">
        <v>0</v>
      </c>
    </row>
    <row r="134" spans="1:36" x14ac:dyDescent="0.2">
      <c r="A134" t="s">
        <v>23</v>
      </c>
      <c r="B134" t="s">
        <v>22</v>
      </c>
      <c r="C134" t="s">
        <v>21</v>
      </c>
      <c r="D134" t="s">
        <v>20</v>
      </c>
      <c r="E134" t="s">
        <v>19</v>
      </c>
      <c r="F134" t="s">
        <v>18</v>
      </c>
      <c r="G134" t="s">
        <v>16</v>
      </c>
      <c r="H134" t="s">
        <v>17</v>
      </c>
      <c r="I134" t="s">
        <v>16</v>
      </c>
      <c r="J134" t="s">
        <v>15</v>
      </c>
      <c r="K134" t="s">
        <v>14</v>
      </c>
      <c r="L134" t="s">
        <v>13</v>
      </c>
      <c r="M134" t="s">
        <v>5</v>
      </c>
      <c r="N134" t="s">
        <v>4</v>
      </c>
      <c r="O134" t="s">
        <v>12</v>
      </c>
      <c r="P134" t="s">
        <v>11</v>
      </c>
      <c r="Q134" t="s">
        <v>10</v>
      </c>
      <c r="R134" t="s">
        <v>9</v>
      </c>
      <c r="S134" t="s">
        <v>8</v>
      </c>
      <c r="T134" t="s">
        <v>7</v>
      </c>
      <c r="U134" t="s">
        <v>3</v>
      </c>
      <c r="V134" t="s">
        <v>6</v>
      </c>
      <c r="W134">
        <v>2023</v>
      </c>
      <c r="Y134">
        <v>14.647834</v>
      </c>
      <c r="AA134" t="s">
        <v>5</v>
      </c>
      <c r="AB134" t="s">
        <v>4</v>
      </c>
      <c r="AC134">
        <v>2023</v>
      </c>
      <c r="AE134" t="s">
        <v>3</v>
      </c>
      <c r="AF134" t="s">
        <v>2</v>
      </c>
      <c r="AG134">
        <v>0</v>
      </c>
      <c r="AH134" t="s">
        <v>1</v>
      </c>
      <c r="AI134">
        <v>2</v>
      </c>
      <c r="AJ134" t="s">
        <v>0</v>
      </c>
    </row>
  </sheetData>
  <autoFilter ref="A1:AJ134" xr:uid="{8039BB3B-BCBE-B14E-9C4D-984A47FBE4A2}">
    <filterColumn colId="26">
      <filters>
        <filter val="_Z"/>
        <filter val="EU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42FD-8F7C-5A45-87F1-4E3C763726B3}">
  <dimension ref="A1:H248"/>
  <sheetViews>
    <sheetView tabSelected="1" zoomScale="150" workbookViewId="0">
      <selection activeCell="F7" sqref="F7"/>
    </sheetView>
  </sheetViews>
  <sheetFormatPr baseColWidth="10" defaultRowHeight="16" x14ac:dyDescent="0.2"/>
  <sheetData>
    <row r="1" spans="1:8" x14ac:dyDescent="0.2">
      <c r="A1" t="s">
        <v>287</v>
      </c>
      <c r="B1" t="s">
        <v>288</v>
      </c>
      <c r="C1" t="s">
        <v>289</v>
      </c>
      <c r="D1" t="s">
        <v>286</v>
      </c>
      <c r="E1" t="s">
        <v>259</v>
      </c>
      <c r="H1" t="s">
        <v>630</v>
      </c>
    </row>
    <row r="2" spans="1:8" x14ac:dyDescent="0.2">
      <c r="A2" t="s">
        <v>90</v>
      </c>
      <c r="B2" t="s">
        <v>91</v>
      </c>
      <c r="C2">
        <v>2023</v>
      </c>
      <c r="D2">
        <v>31977486</v>
      </c>
      <c r="E2">
        <f>IFERROR(_xlfn.XLOOKUP(B2,euro!E$2:E$91,euro!Y$2:Y$91),0)</f>
        <v>168.77026000000001</v>
      </c>
    </row>
    <row r="3" spans="1:8" x14ac:dyDescent="0.2">
      <c r="A3" t="s">
        <v>112</v>
      </c>
      <c r="B3" t="s">
        <v>113</v>
      </c>
      <c r="C3">
        <v>2023</v>
      </c>
      <c r="D3">
        <v>6840733</v>
      </c>
      <c r="E3">
        <f>IFERROR(_xlfn.XLOOKUP(B3,euro!E$2:E$91,euro!Y$2:Y$91),0)</f>
        <v>125.06547999999999</v>
      </c>
    </row>
    <row r="4" spans="1:8" x14ac:dyDescent="0.2">
      <c r="A4" t="s">
        <v>122</v>
      </c>
      <c r="B4" t="s">
        <v>123</v>
      </c>
      <c r="C4">
        <v>2023</v>
      </c>
      <c r="D4">
        <v>312290660</v>
      </c>
      <c r="E4">
        <f>IFERROR(_xlfn.XLOOKUP(B4,euro!E$2:E$91,euro!Y$2:Y$91),0)</f>
        <v>110.8419</v>
      </c>
    </row>
    <row r="5" spans="1:8" x14ac:dyDescent="0.2">
      <c r="A5" t="s">
        <v>108</v>
      </c>
      <c r="B5" t="s">
        <v>109</v>
      </c>
      <c r="C5">
        <v>2023</v>
      </c>
      <c r="D5">
        <v>117016380</v>
      </c>
      <c r="E5">
        <f>IFERROR(_xlfn.XLOOKUP(B5,euro!E$2:E$91,euro!Y$2:Y$91),0)</f>
        <v>110.71052</v>
      </c>
    </row>
    <row r="6" spans="1:8" x14ac:dyDescent="0.2">
      <c r="A6" t="s">
        <v>142</v>
      </c>
      <c r="B6" t="s">
        <v>143</v>
      </c>
      <c r="C6">
        <v>2023</v>
      </c>
      <c r="D6">
        <v>28831184</v>
      </c>
      <c r="E6">
        <f>IFERROR(_xlfn.XLOOKUP(B6,euro!E$2:E$91,euro!Y$2:Y$91),0)</f>
        <v>108.14118000000001</v>
      </c>
    </row>
    <row r="7" spans="1:8" x14ac:dyDescent="0.2">
      <c r="A7" t="s">
        <v>138</v>
      </c>
      <c r="B7" t="s">
        <v>139</v>
      </c>
      <c r="C7">
        <v>2023</v>
      </c>
      <c r="D7">
        <v>31799000</v>
      </c>
      <c r="E7">
        <f>IFERROR(_xlfn.XLOOKUP(B7,euro!E$2:E$91,euro!Y$2:Y$91),0)</f>
        <v>101.84974</v>
      </c>
    </row>
    <row r="8" spans="1:8" x14ac:dyDescent="0.2">
      <c r="A8" t="s">
        <v>104</v>
      </c>
      <c r="B8" t="s">
        <v>105</v>
      </c>
      <c r="C8">
        <v>2023</v>
      </c>
      <c r="D8">
        <v>38869000</v>
      </c>
      <c r="E8">
        <f>IFERROR(_xlfn.XLOOKUP(B8,euro!E$2:E$91,euro!Y$2:Y$91),0)</f>
        <v>101.15076000000001</v>
      </c>
    </row>
    <row r="9" spans="1:8" x14ac:dyDescent="0.2">
      <c r="A9" t="s">
        <v>128</v>
      </c>
      <c r="B9" t="s">
        <v>129</v>
      </c>
      <c r="C9">
        <v>2023</v>
      </c>
      <c r="D9">
        <v>3508235</v>
      </c>
      <c r="E9">
        <f>IFERROR(_xlfn.XLOOKUP(B9,euro!E$2:E$91,euro!Y$2:Y$91),0)</f>
        <v>96.711326999999997</v>
      </c>
    </row>
    <row r="10" spans="1:8" x14ac:dyDescent="0.2">
      <c r="A10" t="s">
        <v>134</v>
      </c>
      <c r="B10" t="s">
        <v>135</v>
      </c>
      <c r="C10">
        <v>2023</v>
      </c>
      <c r="D10">
        <v>593766000</v>
      </c>
      <c r="E10">
        <f>IFERROR(_xlfn.XLOOKUP(B10,euro!E$2:E$91,euro!Y$2:Y$91),0)</f>
        <v>93.442047000000002</v>
      </c>
    </row>
    <row r="11" spans="1:8" x14ac:dyDescent="0.2">
      <c r="A11" t="s">
        <v>92</v>
      </c>
      <c r="B11" t="s">
        <v>93</v>
      </c>
      <c r="C11">
        <v>2023</v>
      </c>
      <c r="D11">
        <v>36708596</v>
      </c>
      <c r="E11">
        <f>IFERROR(_xlfn.XLOOKUP(B11,euro!E$2:E$91,euro!Y$2:Y$91),0)</f>
        <v>90.316199999999995</v>
      </c>
    </row>
    <row r="12" spans="1:8" x14ac:dyDescent="0.2">
      <c r="A12" t="s">
        <v>96</v>
      </c>
      <c r="B12" t="s">
        <v>97</v>
      </c>
      <c r="C12">
        <v>2023</v>
      </c>
      <c r="D12">
        <v>12012164</v>
      </c>
      <c r="E12">
        <f>IFERROR(_xlfn.XLOOKUP(B12,euro!E$2:E$91,euro!Y$2:Y$91),0)</f>
        <v>88.713988999999998</v>
      </c>
    </row>
    <row r="13" spans="1:8" x14ac:dyDescent="0.2">
      <c r="A13" t="s">
        <v>100</v>
      </c>
      <c r="B13" t="s">
        <v>101</v>
      </c>
      <c r="C13">
        <v>2023</v>
      </c>
      <c r="D13">
        <v>37622040</v>
      </c>
      <c r="E13">
        <f>IFERROR(_xlfn.XLOOKUP(B13,euro!E$2:E$91,euro!Y$2:Y$91),0)</f>
        <v>87.920753000000005</v>
      </c>
    </row>
    <row r="14" spans="1:8" x14ac:dyDescent="0.2">
      <c r="A14" t="s">
        <v>54</v>
      </c>
      <c r="B14" t="s">
        <v>55</v>
      </c>
      <c r="C14">
        <v>2023</v>
      </c>
      <c r="D14">
        <v>1768002</v>
      </c>
      <c r="E14">
        <f>IFERROR(_xlfn.XLOOKUP(B14,euro!E$2:E$91,euro!Y$2:Y$91),0)</f>
        <v>86.295029</v>
      </c>
    </row>
    <row r="15" spans="1:8" x14ac:dyDescent="0.2">
      <c r="A15" t="s">
        <v>154</v>
      </c>
      <c r="B15" t="s">
        <v>155</v>
      </c>
      <c r="C15">
        <v>2023</v>
      </c>
      <c r="D15">
        <v>56908956</v>
      </c>
      <c r="E15">
        <f>IFERROR(_xlfn.XLOOKUP(B15,euro!E$2:E$91,euro!Y$2:Y$91),0)</f>
        <v>85.875618000000003</v>
      </c>
    </row>
    <row r="16" spans="1:8" x14ac:dyDescent="0.2">
      <c r="A16" t="s">
        <v>152</v>
      </c>
      <c r="B16" t="s">
        <v>153</v>
      </c>
      <c r="C16">
        <v>2023</v>
      </c>
      <c r="D16">
        <v>84703360</v>
      </c>
      <c r="E16">
        <f>IFERROR(_xlfn.XLOOKUP(B16,euro!E$2:E$91,euro!Y$2:Y$91),0)</f>
        <v>82.957511999999994</v>
      </c>
    </row>
    <row r="17" spans="1:5" x14ac:dyDescent="0.2">
      <c r="A17" t="s">
        <v>70</v>
      </c>
      <c r="B17" t="s">
        <v>71</v>
      </c>
      <c r="C17">
        <v>2023</v>
      </c>
      <c r="D17">
        <v>7188089</v>
      </c>
      <c r="E17">
        <f>IFERROR(_xlfn.XLOOKUP(B17,euro!E$2:E$91,euro!Y$2:Y$91),0)</f>
        <v>81.570091000000005</v>
      </c>
    </row>
    <row r="18" spans="1:5" x14ac:dyDescent="0.2">
      <c r="A18" t="s">
        <v>140</v>
      </c>
      <c r="B18" t="s">
        <v>141</v>
      </c>
      <c r="C18">
        <v>2023</v>
      </c>
      <c r="D18">
        <v>8744257</v>
      </c>
      <c r="E18">
        <f>IFERROR(_xlfn.XLOOKUP(B18,euro!E$2:E$91,euro!Y$2:Y$91),0)</f>
        <v>80.378997999999996</v>
      </c>
    </row>
    <row r="19" spans="1:5" x14ac:dyDescent="0.2">
      <c r="A19" t="s">
        <v>132</v>
      </c>
      <c r="B19" t="s">
        <v>133</v>
      </c>
      <c r="C19">
        <v>2023</v>
      </c>
      <c r="D19">
        <v>51988224</v>
      </c>
      <c r="E19">
        <f>IFERROR(_xlfn.XLOOKUP(B19,euro!E$2:E$91,euro!Y$2:Y$91),0)</f>
        <v>76.593299999999999</v>
      </c>
    </row>
    <row r="20" spans="1:5" x14ac:dyDescent="0.2">
      <c r="A20" t="s">
        <v>124</v>
      </c>
      <c r="B20" t="s">
        <v>125</v>
      </c>
      <c r="C20">
        <v>2023</v>
      </c>
      <c r="D20">
        <v>55381996</v>
      </c>
      <c r="E20">
        <f>IFERROR(_xlfn.XLOOKUP(B20,euro!E$2:E$91,euro!Y$2:Y$91),0)</f>
        <v>71.327499000000003</v>
      </c>
    </row>
    <row r="21" spans="1:5" x14ac:dyDescent="0.2">
      <c r="A21" t="s">
        <v>72</v>
      </c>
      <c r="B21" t="s">
        <v>73</v>
      </c>
      <c r="C21">
        <v>2023</v>
      </c>
      <c r="D21">
        <v>18467598</v>
      </c>
      <c r="E21">
        <f>IFERROR(_xlfn.XLOOKUP(B21,euro!E$2:E$91,euro!Y$2:Y$91),0)</f>
        <v>69.537514000000002</v>
      </c>
    </row>
    <row r="22" spans="1:5" x14ac:dyDescent="0.2">
      <c r="A22" t="s">
        <v>102</v>
      </c>
      <c r="B22" t="s">
        <v>103</v>
      </c>
      <c r="C22">
        <v>2023</v>
      </c>
      <c r="D22">
        <v>283243460</v>
      </c>
      <c r="E22">
        <f>IFERROR(_xlfn.XLOOKUP(B22,euro!E$2:E$91,euro!Y$2:Y$91),0)</f>
        <v>68.158066000000005</v>
      </c>
    </row>
    <row r="23" spans="1:5" x14ac:dyDescent="0.2">
      <c r="A23" t="s">
        <v>144</v>
      </c>
      <c r="B23" t="s">
        <v>145</v>
      </c>
      <c r="C23">
        <v>2023</v>
      </c>
      <c r="D23">
        <v>83232250</v>
      </c>
      <c r="E23">
        <f>IFERROR(_xlfn.XLOOKUP(B23,euro!E$2:E$91,euro!Y$2:Y$91),0)</f>
        <v>68.082481000000001</v>
      </c>
    </row>
    <row r="24" spans="1:5" x14ac:dyDescent="0.2">
      <c r="A24" t="s">
        <v>94</v>
      </c>
      <c r="B24" t="s">
        <v>95</v>
      </c>
      <c r="C24">
        <v>2023</v>
      </c>
      <c r="D24">
        <v>215460750</v>
      </c>
      <c r="E24">
        <f>IFERROR(_xlfn.XLOOKUP(B24,euro!E$2:E$91,euro!Y$2:Y$91),0)</f>
        <v>67.718468000000001</v>
      </c>
    </row>
    <row r="25" spans="1:5" x14ac:dyDescent="0.2">
      <c r="A25" t="s">
        <v>146</v>
      </c>
      <c r="B25" t="s">
        <v>147</v>
      </c>
      <c r="C25">
        <v>2023</v>
      </c>
      <c r="D25">
        <v>8472529</v>
      </c>
      <c r="E25">
        <f>IFERROR(_xlfn.XLOOKUP(B25,euro!E$2:E$91,euro!Y$2:Y$91),0)</f>
        <v>67.432190000000006</v>
      </c>
    </row>
    <row r="26" spans="1:5" x14ac:dyDescent="0.2">
      <c r="A26" t="s">
        <v>567</v>
      </c>
      <c r="B26" t="s">
        <v>99</v>
      </c>
      <c r="C26">
        <v>2023</v>
      </c>
      <c r="D26">
        <v>30766244</v>
      </c>
      <c r="E26">
        <f>IFERROR(_xlfn.XLOOKUP(B26,euro!E$2:E$91,euro!Y$2:Y$91),0)</f>
        <v>62.042949999999998</v>
      </c>
    </row>
    <row r="27" spans="1:5" x14ac:dyDescent="0.2">
      <c r="A27" t="s">
        <v>116</v>
      </c>
      <c r="B27" t="s">
        <v>117</v>
      </c>
      <c r="C27">
        <v>2023</v>
      </c>
      <c r="D27">
        <v>6589883</v>
      </c>
      <c r="E27">
        <f>IFERROR(_xlfn.XLOOKUP(B27,euro!E$2:E$91,euro!Y$2:Y$91),0)</f>
        <v>61.617077000000002</v>
      </c>
    </row>
    <row r="28" spans="1:5" x14ac:dyDescent="0.2">
      <c r="A28" t="s">
        <v>75</v>
      </c>
      <c r="B28" t="s">
        <v>76</v>
      </c>
      <c r="C28">
        <v>2023</v>
      </c>
      <c r="D28">
        <v>34500948</v>
      </c>
      <c r="E28">
        <f>IFERROR(_xlfn.XLOOKUP(B28,euro!E$2:E$91,euro!Y$2:Y$91),0)</f>
        <v>60.509453000000001</v>
      </c>
    </row>
    <row r="29" spans="1:5" x14ac:dyDescent="0.2">
      <c r="A29" t="s">
        <v>126</v>
      </c>
      <c r="B29" t="s">
        <v>127</v>
      </c>
      <c r="C29">
        <v>2023</v>
      </c>
      <c r="D29">
        <v>33567940</v>
      </c>
      <c r="E29">
        <f>IFERROR(_xlfn.XLOOKUP(B29,euro!E$2:E$91,euro!Y$2:Y$91),0)</f>
        <v>59.683121</v>
      </c>
    </row>
    <row r="30" spans="1:5" x14ac:dyDescent="0.2">
      <c r="A30" t="s">
        <v>130</v>
      </c>
      <c r="B30" t="s">
        <v>131</v>
      </c>
      <c r="C30">
        <v>2023</v>
      </c>
      <c r="D30">
        <v>40343864</v>
      </c>
      <c r="E30">
        <f>IFERROR(_xlfn.XLOOKUP(B30,euro!E$2:E$91,euro!Y$2:Y$91),0)</f>
        <v>55.361725</v>
      </c>
    </row>
    <row r="31" spans="1:5" x14ac:dyDescent="0.2">
      <c r="A31" t="s">
        <v>42</v>
      </c>
      <c r="B31" t="s">
        <v>43</v>
      </c>
      <c r="C31">
        <v>2023</v>
      </c>
      <c r="D31">
        <v>67866024</v>
      </c>
      <c r="E31">
        <f>IFERROR(_xlfn.XLOOKUP(B31,euro!E$2:E$91,euro!Y$2:Y$91),0)</f>
        <v>48.557811999999998</v>
      </c>
    </row>
    <row r="32" spans="1:5" x14ac:dyDescent="0.2">
      <c r="A32" t="s">
        <v>136</v>
      </c>
      <c r="B32" t="s">
        <v>137</v>
      </c>
      <c r="C32">
        <v>2023</v>
      </c>
      <c r="D32">
        <v>270262660</v>
      </c>
      <c r="E32">
        <f>IFERROR(_xlfn.XLOOKUP(B32,euro!E$2:E$91,euro!Y$2:Y$91),0)</f>
        <v>47.142189000000002</v>
      </c>
    </row>
    <row r="33" spans="1:5" x14ac:dyDescent="0.2">
      <c r="A33" t="s">
        <v>114</v>
      </c>
      <c r="B33" t="s">
        <v>115</v>
      </c>
      <c r="C33">
        <v>2023</v>
      </c>
      <c r="D33">
        <v>12507402</v>
      </c>
      <c r="E33">
        <f>IFERROR(_xlfn.XLOOKUP(B33,euro!E$2:E$91,euro!Y$2:Y$91),0)</f>
        <v>42.414462999999998</v>
      </c>
    </row>
    <row r="34" spans="1:5" x14ac:dyDescent="0.2">
      <c r="A34" t="s">
        <v>150</v>
      </c>
      <c r="B34" t="s">
        <v>151</v>
      </c>
      <c r="C34">
        <v>2023</v>
      </c>
      <c r="D34">
        <v>545478500</v>
      </c>
      <c r="E34">
        <f>IFERROR(_xlfn.XLOOKUP(B34,euro!E$2:E$91,euro!Y$2:Y$91),0)</f>
        <v>42.176654999999997</v>
      </c>
    </row>
    <row r="35" spans="1:5" x14ac:dyDescent="0.2">
      <c r="A35" t="s">
        <v>148</v>
      </c>
      <c r="B35" t="s">
        <v>149</v>
      </c>
      <c r="C35">
        <v>2023</v>
      </c>
      <c r="D35">
        <v>77604216</v>
      </c>
      <c r="E35">
        <f>IFERROR(_xlfn.XLOOKUP(B35,euro!E$2:E$91,euro!Y$2:Y$91),0)</f>
        <v>36.768517000000003</v>
      </c>
    </row>
    <row r="36" spans="1:5" x14ac:dyDescent="0.2">
      <c r="A36" t="s">
        <v>87</v>
      </c>
      <c r="B36" t="s">
        <v>88</v>
      </c>
      <c r="C36">
        <v>2023</v>
      </c>
      <c r="D36">
        <v>307826140</v>
      </c>
      <c r="E36">
        <f>IFERROR(_xlfn.XLOOKUP(B36,euro!E$2:E$91,euro!Y$2:Y$91),0)</f>
        <v>35.185329000000003</v>
      </c>
    </row>
    <row r="37" spans="1:5" x14ac:dyDescent="0.2">
      <c r="A37" t="s">
        <v>106</v>
      </c>
      <c r="B37" t="s">
        <v>107</v>
      </c>
      <c r="C37">
        <v>2023</v>
      </c>
      <c r="D37">
        <v>31559814</v>
      </c>
      <c r="E37">
        <f>IFERROR(_xlfn.XLOOKUP(B37,euro!E$2:E$91,euro!Y$2:Y$91),0)</f>
        <v>33.595363999999996</v>
      </c>
    </row>
    <row r="38" spans="1:5" x14ac:dyDescent="0.2">
      <c r="A38" t="s">
        <v>60</v>
      </c>
      <c r="B38" t="s">
        <v>61</v>
      </c>
      <c r="C38">
        <v>2023</v>
      </c>
      <c r="D38">
        <v>8068915.5</v>
      </c>
      <c r="E38">
        <f>IFERROR(_xlfn.XLOOKUP(B38,euro!E$2:E$91,euro!Y$2:Y$91),0)</f>
        <v>32.713000999999998</v>
      </c>
    </row>
    <row r="39" spans="1:5" x14ac:dyDescent="0.2">
      <c r="A39" t="s">
        <v>110</v>
      </c>
      <c r="B39" t="s">
        <v>111</v>
      </c>
      <c r="C39">
        <v>2023</v>
      </c>
      <c r="D39">
        <v>458253860</v>
      </c>
      <c r="E39">
        <f>IFERROR(_xlfn.XLOOKUP(B39,euro!E$2:E$91,euro!Y$2:Y$91),0)</f>
        <v>28.653582</v>
      </c>
    </row>
    <row r="40" spans="1:5" x14ac:dyDescent="0.2">
      <c r="A40" t="s">
        <v>574</v>
      </c>
      <c r="B40" t="s">
        <v>119</v>
      </c>
      <c r="C40">
        <v>2023</v>
      </c>
      <c r="D40">
        <v>589178500</v>
      </c>
      <c r="E40">
        <f>IFERROR(_xlfn.XLOOKUP(B40,euro!E$2:E$91,euro!Y$2:Y$91),0)</f>
        <v>27.350366999999999</v>
      </c>
    </row>
    <row r="41" spans="1:5" x14ac:dyDescent="0.2">
      <c r="A41" t="s">
        <v>156</v>
      </c>
      <c r="B41" t="s">
        <v>157</v>
      </c>
      <c r="C41">
        <v>2023</v>
      </c>
      <c r="D41">
        <v>384316060</v>
      </c>
      <c r="E41">
        <f>IFERROR(_xlfn.XLOOKUP(B41,euro!E$2:E$91,euro!Y$2:Y$91),0)</f>
        <v>20.383237999999999</v>
      </c>
    </row>
    <row r="42" spans="1:5" x14ac:dyDescent="0.2">
      <c r="A42" t="s">
        <v>66</v>
      </c>
      <c r="B42" t="s">
        <v>67</v>
      </c>
      <c r="C42">
        <v>2023</v>
      </c>
      <c r="D42">
        <v>20135648</v>
      </c>
      <c r="E42">
        <f>IFERROR(_xlfn.XLOOKUP(B42,euro!E$2:E$91,euro!Y$2:Y$91),0)</f>
        <v>18.661732000000001</v>
      </c>
    </row>
    <row r="43" spans="1:5" x14ac:dyDescent="0.2">
      <c r="A43" t="s">
        <v>52</v>
      </c>
      <c r="B43" t="s">
        <v>53</v>
      </c>
      <c r="C43">
        <v>2023</v>
      </c>
      <c r="D43">
        <v>4587621</v>
      </c>
      <c r="E43">
        <f>IFERROR(_xlfn.XLOOKUP(B43,euro!E$2:E$91,euro!Y$2:Y$91),0)</f>
        <v>17.463127</v>
      </c>
    </row>
    <row r="44" spans="1:5" x14ac:dyDescent="0.2">
      <c r="A44" t="s">
        <v>30</v>
      </c>
      <c r="B44" t="s">
        <v>31</v>
      </c>
      <c r="C44">
        <v>2023</v>
      </c>
      <c r="D44">
        <v>7626940</v>
      </c>
      <c r="E44">
        <f>IFERROR(_xlfn.XLOOKUP(B44,euro!E$2:E$91,euro!Y$2:Y$91),0)</f>
        <v>16.260715000000001</v>
      </c>
    </row>
    <row r="45" spans="1:5" x14ac:dyDescent="0.2">
      <c r="A45" t="s">
        <v>34</v>
      </c>
      <c r="B45" t="s">
        <v>35</v>
      </c>
      <c r="C45">
        <v>2023</v>
      </c>
      <c r="D45">
        <v>436604200</v>
      </c>
      <c r="E45">
        <f>IFERROR(_xlfn.XLOOKUP(B45,euro!E$2:E$91,euro!Y$2:Y$91),0)</f>
        <v>16.014624000000001</v>
      </c>
    </row>
    <row r="46" spans="1:5" x14ac:dyDescent="0.2">
      <c r="A46" t="s">
        <v>32</v>
      </c>
      <c r="B46" t="s">
        <v>33</v>
      </c>
      <c r="C46">
        <v>2023</v>
      </c>
      <c r="D46">
        <v>6235861</v>
      </c>
      <c r="E46">
        <f>IFERROR(_xlfn.XLOOKUP(B46,euro!E$2:E$91,euro!Y$2:Y$91),0)</f>
        <v>15.91996</v>
      </c>
    </row>
    <row r="47" spans="1:5" x14ac:dyDescent="0.2">
      <c r="A47" t="s">
        <v>68</v>
      </c>
      <c r="B47" t="s">
        <v>69</v>
      </c>
      <c r="C47">
        <v>2023</v>
      </c>
      <c r="D47">
        <v>31828554</v>
      </c>
      <c r="E47">
        <f>IFERROR(_xlfn.XLOOKUP(B47,euro!E$2:E$91,euro!Y$2:Y$91),0)</f>
        <v>14.999579000000001</v>
      </c>
    </row>
    <row r="48" spans="1:5" x14ac:dyDescent="0.2">
      <c r="A48" t="s">
        <v>58</v>
      </c>
      <c r="B48" t="s">
        <v>59</v>
      </c>
      <c r="C48">
        <v>2023</v>
      </c>
      <c r="D48">
        <v>21185722</v>
      </c>
      <c r="E48">
        <f>IFERROR(_xlfn.XLOOKUP(B48,euro!E$2:E$91,euro!Y$2:Y$91),0)</f>
        <v>13.884295</v>
      </c>
    </row>
    <row r="49" spans="1:5" x14ac:dyDescent="0.2">
      <c r="A49" t="s">
        <v>38</v>
      </c>
      <c r="B49" t="s">
        <v>39</v>
      </c>
      <c r="C49">
        <v>2023</v>
      </c>
      <c r="D49">
        <v>2016015</v>
      </c>
      <c r="E49">
        <f>IFERROR(_xlfn.XLOOKUP(B49,euro!E$2:E$91,euro!Y$2:Y$91),0)</f>
        <v>13.825374</v>
      </c>
    </row>
    <row r="50" spans="1:5" x14ac:dyDescent="0.2">
      <c r="A50" t="s">
        <v>36</v>
      </c>
      <c r="B50" t="s">
        <v>37</v>
      </c>
      <c r="C50">
        <v>2023</v>
      </c>
      <c r="D50">
        <v>51067616</v>
      </c>
      <c r="E50">
        <f>IFERROR(_xlfn.XLOOKUP(B50,euro!E$2:E$91,euro!Y$2:Y$91),0)</f>
        <v>13.482552999999999</v>
      </c>
    </row>
    <row r="51" spans="1:5" x14ac:dyDescent="0.2">
      <c r="A51" t="s">
        <v>64</v>
      </c>
      <c r="B51" t="s">
        <v>65</v>
      </c>
      <c r="C51">
        <v>2023</v>
      </c>
      <c r="D51">
        <v>19736068</v>
      </c>
      <c r="E51">
        <f>IFERROR(_xlfn.XLOOKUP(B51,euro!E$2:E$91,euro!Y$2:Y$91),0)</f>
        <v>11.460323000000001</v>
      </c>
    </row>
    <row r="52" spans="1:5" x14ac:dyDescent="0.2">
      <c r="A52" t="s">
        <v>44</v>
      </c>
      <c r="B52" t="s">
        <v>45</v>
      </c>
      <c r="C52">
        <v>2023</v>
      </c>
      <c r="D52">
        <v>160980460</v>
      </c>
      <c r="E52">
        <f>IFERROR(_xlfn.XLOOKUP(B52,euro!E$2:E$91,euro!Y$2:Y$91),0)</f>
        <v>9.8803491999999995</v>
      </c>
    </row>
    <row r="53" spans="1:5" x14ac:dyDescent="0.2">
      <c r="A53" t="s">
        <v>46</v>
      </c>
      <c r="B53" t="s">
        <v>47</v>
      </c>
      <c r="C53">
        <v>2023</v>
      </c>
      <c r="D53">
        <v>66064750</v>
      </c>
      <c r="E53">
        <f>IFERROR(_xlfn.XLOOKUP(B53,euro!E$2:E$91,euro!Y$2:Y$91),0)</f>
        <v>9.7818650999999992</v>
      </c>
    </row>
    <row r="54" spans="1:5" x14ac:dyDescent="0.2">
      <c r="A54" t="s">
        <v>285</v>
      </c>
      <c r="B54" t="s">
        <v>89</v>
      </c>
      <c r="C54">
        <v>2023</v>
      </c>
      <c r="D54">
        <v>486944580</v>
      </c>
      <c r="E54">
        <f>IFERROR(_xlfn.XLOOKUP(B54,euro!E$2:E$91,euro!Y$2:Y$91),0)</f>
        <v>9.3701305000000001</v>
      </c>
    </row>
    <row r="55" spans="1:5" x14ac:dyDescent="0.2">
      <c r="A55" t="s">
        <v>79</v>
      </c>
      <c r="B55" t="s">
        <v>80</v>
      </c>
      <c r="C55">
        <v>2023</v>
      </c>
      <c r="D55">
        <v>178406990</v>
      </c>
      <c r="E55">
        <f>IFERROR(_xlfn.XLOOKUP(B55,euro!E$2:E$91,euro!Y$2:Y$91),0)</f>
        <v>9.1290312</v>
      </c>
    </row>
    <row r="56" spans="1:5" x14ac:dyDescent="0.2">
      <c r="A56" t="s">
        <v>48</v>
      </c>
      <c r="B56" t="s">
        <v>49</v>
      </c>
      <c r="C56">
        <v>2023</v>
      </c>
      <c r="D56">
        <v>7645687</v>
      </c>
      <c r="E56">
        <f>IFERROR(_xlfn.XLOOKUP(B56,euro!E$2:E$91,euro!Y$2:Y$91),0)</f>
        <v>8.6564121000000007</v>
      </c>
    </row>
    <row r="57" spans="1:5" x14ac:dyDescent="0.2">
      <c r="A57" t="s">
        <v>284</v>
      </c>
      <c r="B57" t="s">
        <v>74</v>
      </c>
      <c r="C57">
        <v>2023</v>
      </c>
      <c r="D57">
        <v>12172008000</v>
      </c>
      <c r="E57">
        <f>IFERROR(_xlfn.XLOOKUP(B57,euro!E$2:E$91,euro!Y$2:Y$91),0)</f>
        <v>8.6312990000000003</v>
      </c>
    </row>
    <row r="58" spans="1:5" x14ac:dyDescent="0.2">
      <c r="A58" t="s">
        <v>62</v>
      </c>
      <c r="B58" t="s">
        <v>63</v>
      </c>
      <c r="C58">
        <v>2023</v>
      </c>
      <c r="D58">
        <v>3062756400</v>
      </c>
      <c r="E58">
        <f>IFERROR(_xlfn.XLOOKUP(B58,euro!E$2:E$91,euro!Y$2:Y$91),0)</f>
        <v>8.0938739999999996</v>
      </c>
    </row>
    <row r="59" spans="1:5" x14ac:dyDescent="0.2">
      <c r="A59" t="s">
        <v>50</v>
      </c>
      <c r="B59" t="s">
        <v>51</v>
      </c>
      <c r="C59">
        <v>2023</v>
      </c>
      <c r="D59">
        <v>13002121</v>
      </c>
      <c r="E59">
        <f>IFERROR(_xlfn.XLOOKUP(B59,euro!E$2:E$91,euro!Y$2:Y$91),0)</f>
        <v>6.9162420999999998</v>
      </c>
    </row>
    <row r="60" spans="1:5" x14ac:dyDescent="0.2">
      <c r="A60" t="s">
        <v>120</v>
      </c>
      <c r="B60" t="s">
        <v>121</v>
      </c>
      <c r="C60">
        <v>2023</v>
      </c>
      <c r="D60">
        <v>986910140</v>
      </c>
      <c r="E60">
        <f>IFERROR(_xlfn.XLOOKUP(B60,euro!E$2:E$91,euro!Y$2:Y$91),0)</f>
        <v>5.7487206000000004</v>
      </c>
    </row>
    <row r="61" spans="1:5" x14ac:dyDescent="0.2">
      <c r="A61" t="s">
        <v>56</v>
      </c>
      <c r="B61" t="s">
        <v>57</v>
      </c>
      <c r="C61">
        <v>2023</v>
      </c>
      <c r="D61">
        <v>11144427</v>
      </c>
      <c r="E61">
        <f>IFERROR(_xlfn.XLOOKUP(B61,euro!E$2:E$91,euro!Y$2:Y$91),0)</f>
        <v>4.2888875000000004</v>
      </c>
    </row>
    <row r="62" spans="1:5" x14ac:dyDescent="0.2">
      <c r="A62" t="s">
        <v>40</v>
      </c>
      <c r="B62" t="s">
        <v>41</v>
      </c>
      <c r="C62">
        <v>2023</v>
      </c>
      <c r="D62">
        <v>1733134600</v>
      </c>
      <c r="E62">
        <f>IFERROR(_xlfn.XLOOKUP(B62,euro!E$2:E$91,euro!Y$2:Y$91),0)</f>
        <v>4.1177391999999999</v>
      </c>
    </row>
    <row r="63" spans="1:5" x14ac:dyDescent="0.2">
      <c r="A63" t="s">
        <v>28</v>
      </c>
      <c r="B63" t="s">
        <v>29</v>
      </c>
      <c r="C63">
        <v>2023</v>
      </c>
      <c r="D63">
        <v>11830727</v>
      </c>
      <c r="E63">
        <f>IFERROR(_xlfn.XLOOKUP(B63,euro!E$2:E$91,euro!Y$2:Y$91),0)</f>
        <v>2.3239043000000001</v>
      </c>
    </row>
    <row r="64" spans="1:5" x14ac:dyDescent="0.2">
      <c r="A64" t="s">
        <v>77</v>
      </c>
      <c r="B64" t="s">
        <v>78</v>
      </c>
      <c r="C64">
        <v>2023</v>
      </c>
      <c r="D64">
        <v>483991940</v>
      </c>
      <c r="E64">
        <f>IFERROR(_xlfn.XLOOKUP(B64,euro!E$2:E$91,euro!Y$2:Y$91),0)</f>
        <v>0.43982789</v>
      </c>
    </row>
    <row r="65" spans="1:5" x14ac:dyDescent="0.2">
      <c r="A65" t="s">
        <v>290</v>
      </c>
      <c r="B65" t="s">
        <v>291</v>
      </c>
      <c r="C65">
        <v>2023</v>
      </c>
      <c r="D65">
        <v>10516319</v>
      </c>
      <c r="E65">
        <f>IFERROR(_xlfn.XLOOKUP(B65,euro!E$2:E$91,euro!Y$2:Y$91),0)</f>
        <v>0</v>
      </c>
    </row>
    <row r="66" spans="1:5" x14ac:dyDescent="0.2">
      <c r="A66" t="s">
        <v>292</v>
      </c>
      <c r="C66">
        <v>2023</v>
      </c>
      <c r="D66">
        <v>1481814400</v>
      </c>
      <c r="E66">
        <f>IFERROR(_xlfn.XLOOKUP(B66,euro!E$2:E$91,euro!Y$2:Y$91),0)</f>
        <v>0</v>
      </c>
    </row>
    <row r="67" spans="1:5" x14ac:dyDescent="0.2">
      <c r="A67" t="s">
        <v>293</v>
      </c>
      <c r="C67">
        <v>2023</v>
      </c>
      <c r="D67">
        <v>1481803400</v>
      </c>
      <c r="E67">
        <f>IFERROR(_xlfn.XLOOKUP(B67,euro!E$2:E$91,euro!Y$2:Y$91),0)</f>
        <v>0</v>
      </c>
    </row>
    <row r="68" spans="1:5" x14ac:dyDescent="0.2">
      <c r="A68" t="s">
        <v>294</v>
      </c>
      <c r="B68" t="s">
        <v>295</v>
      </c>
      <c r="C68">
        <v>2023</v>
      </c>
      <c r="D68">
        <v>4417333</v>
      </c>
      <c r="E68">
        <f>IFERROR(_xlfn.XLOOKUP(B68,euro!E$2:E$91,euro!Y$2:Y$91),0)</f>
        <v>0</v>
      </c>
    </row>
    <row r="69" spans="1:5" x14ac:dyDescent="0.2">
      <c r="A69" t="s">
        <v>296</v>
      </c>
      <c r="B69" t="s">
        <v>297</v>
      </c>
      <c r="C69">
        <v>2023</v>
      </c>
      <c r="D69">
        <v>202846660</v>
      </c>
      <c r="E69">
        <f>IFERROR(_xlfn.XLOOKUP(B69,euro!E$2:E$91,euro!Y$2:Y$91),0)</f>
        <v>0</v>
      </c>
    </row>
    <row r="70" spans="1:5" x14ac:dyDescent="0.2">
      <c r="A70" t="s">
        <v>298</v>
      </c>
      <c r="B70" t="s">
        <v>299</v>
      </c>
      <c r="C70">
        <v>2023</v>
      </c>
      <c r="D70">
        <v>418098</v>
      </c>
      <c r="E70">
        <f>IFERROR(_xlfn.XLOOKUP(B70,euro!E$2:E$91,euro!Y$2:Y$91),0)</f>
        <v>0</v>
      </c>
    </row>
    <row r="71" spans="1:5" x14ac:dyDescent="0.2">
      <c r="A71" t="s">
        <v>300</v>
      </c>
      <c r="B71" t="s">
        <v>301</v>
      </c>
      <c r="C71">
        <v>2023</v>
      </c>
      <c r="D71">
        <v>21674816</v>
      </c>
      <c r="E71">
        <f>IFERROR(_xlfn.XLOOKUP(B71,euro!E$2:E$91,euro!Y$2:Y$91),0)</f>
        <v>0</v>
      </c>
    </row>
    <row r="72" spans="1:5" x14ac:dyDescent="0.2">
      <c r="A72" t="s">
        <v>302</v>
      </c>
      <c r="B72" t="s">
        <v>303</v>
      </c>
      <c r="C72">
        <v>2023</v>
      </c>
      <c r="D72">
        <v>142607</v>
      </c>
      <c r="E72">
        <f>IFERROR(_xlfn.XLOOKUP(B72,euro!E$2:E$91,euro!Y$2:Y$91),0)</f>
        <v>0</v>
      </c>
    </row>
    <row r="73" spans="1:5" x14ac:dyDescent="0.2">
      <c r="A73" t="s">
        <v>304</v>
      </c>
      <c r="B73" t="s">
        <v>305</v>
      </c>
      <c r="C73">
        <v>2023</v>
      </c>
      <c r="D73">
        <v>0</v>
      </c>
      <c r="E73">
        <f>IFERROR(_xlfn.XLOOKUP(B73,euro!E$2:E$91,euro!Y$2:Y$91),0)</f>
        <v>0</v>
      </c>
    </row>
    <row r="74" spans="1:5" x14ac:dyDescent="0.2">
      <c r="A74" t="s">
        <v>306</v>
      </c>
      <c r="B74" t="s">
        <v>307</v>
      </c>
      <c r="C74">
        <v>2023</v>
      </c>
      <c r="D74">
        <v>640533</v>
      </c>
      <c r="E74">
        <f>IFERROR(_xlfn.XLOOKUP(B74,euro!E$2:E$91,euro!Y$2:Y$91),0)</f>
        <v>0</v>
      </c>
    </row>
    <row r="75" spans="1:5" x14ac:dyDescent="0.2">
      <c r="A75" t="s">
        <v>308</v>
      </c>
      <c r="B75" t="s">
        <v>309</v>
      </c>
      <c r="C75">
        <v>2023</v>
      </c>
      <c r="D75">
        <v>7430228</v>
      </c>
      <c r="E75">
        <f>IFERROR(_xlfn.XLOOKUP(B75,euro!E$2:E$91,euro!Y$2:Y$91),0)</f>
        <v>0</v>
      </c>
    </row>
    <row r="76" spans="1:5" x14ac:dyDescent="0.2">
      <c r="A76" t="s">
        <v>310</v>
      </c>
      <c r="B76" t="s">
        <v>311</v>
      </c>
      <c r="C76">
        <v>2023</v>
      </c>
      <c r="D76">
        <v>886584</v>
      </c>
      <c r="E76">
        <f>IFERROR(_xlfn.XLOOKUP(B76,euro!E$2:E$91,euro!Y$2:Y$91),0)</f>
        <v>0</v>
      </c>
    </row>
    <row r="77" spans="1:5" x14ac:dyDescent="0.2">
      <c r="A77" t="s">
        <v>312</v>
      </c>
      <c r="C77">
        <v>2023</v>
      </c>
      <c r="D77">
        <v>22997092000</v>
      </c>
      <c r="E77">
        <f>IFERROR(_xlfn.XLOOKUP(B77,euro!E$2:E$91,euro!Y$2:Y$91),0)</f>
        <v>0</v>
      </c>
    </row>
    <row r="78" spans="1:5" x14ac:dyDescent="0.2">
      <c r="A78" t="s">
        <v>313</v>
      </c>
      <c r="C78">
        <v>2023</v>
      </c>
      <c r="D78">
        <v>20111112000</v>
      </c>
      <c r="E78">
        <f>IFERROR(_xlfn.XLOOKUP(B78,euro!E$2:E$91,euro!Y$2:Y$91),0)</f>
        <v>0</v>
      </c>
    </row>
    <row r="79" spans="1:5" x14ac:dyDescent="0.2">
      <c r="A79" t="s">
        <v>314</v>
      </c>
      <c r="C79">
        <v>2023</v>
      </c>
      <c r="D79">
        <v>7762327600</v>
      </c>
      <c r="E79">
        <f>IFERROR(_xlfn.XLOOKUP(B79,euro!E$2:E$91,euro!Y$2:Y$91),0)</f>
        <v>0</v>
      </c>
    </row>
    <row r="80" spans="1:5" x14ac:dyDescent="0.2">
      <c r="A80" t="s">
        <v>315</v>
      </c>
      <c r="B80" t="s">
        <v>316</v>
      </c>
      <c r="C80">
        <v>2023</v>
      </c>
      <c r="D80">
        <v>42748196</v>
      </c>
      <c r="E80">
        <f>IFERROR(_xlfn.XLOOKUP(B80,euro!E$2:E$91,euro!Y$2:Y$91),0)</f>
        <v>0</v>
      </c>
    </row>
    <row r="81" spans="1:5" x14ac:dyDescent="0.2">
      <c r="A81" t="s">
        <v>317</v>
      </c>
      <c r="B81" t="s">
        <v>318</v>
      </c>
      <c r="C81">
        <v>2023</v>
      </c>
      <c r="D81">
        <v>2956122</v>
      </c>
      <c r="E81">
        <f>IFERROR(_xlfn.XLOOKUP(B81,euro!E$2:E$91,euro!Y$2:Y$91),0)</f>
        <v>0</v>
      </c>
    </row>
    <row r="82" spans="1:5" x14ac:dyDescent="0.2">
      <c r="A82" t="s">
        <v>319</v>
      </c>
      <c r="B82" t="s">
        <v>320</v>
      </c>
      <c r="C82">
        <v>2023</v>
      </c>
      <c r="D82">
        <v>38786692</v>
      </c>
      <c r="E82">
        <f>IFERROR(_xlfn.XLOOKUP(B82,euro!E$2:E$91,euro!Y$2:Y$91),0)</f>
        <v>0</v>
      </c>
    </row>
    <row r="83" spans="1:5" x14ac:dyDescent="0.2">
      <c r="A83" t="s">
        <v>321</v>
      </c>
      <c r="B83" t="s">
        <v>322</v>
      </c>
      <c r="C83">
        <v>2023</v>
      </c>
      <c r="D83">
        <v>104526670</v>
      </c>
      <c r="E83">
        <f>IFERROR(_xlfn.XLOOKUP(B83,euro!E$2:E$91,euro!Y$2:Y$91),0)</f>
        <v>0</v>
      </c>
    </row>
    <row r="84" spans="1:5" x14ac:dyDescent="0.2">
      <c r="A84" t="s">
        <v>323</v>
      </c>
      <c r="B84" t="s">
        <v>324</v>
      </c>
      <c r="C84">
        <v>2023</v>
      </c>
      <c r="D84">
        <v>1316733</v>
      </c>
      <c r="E84">
        <f>IFERROR(_xlfn.XLOOKUP(B84,euro!E$2:E$91,euro!Y$2:Y$91),0)</f>
        <v>0</v>
      </c>
    </row>
    <row r="85" spans="1:5" x14ac:dyDescent="0.2">
      <c r="A85" t="s">
        <v>325</v>
      </c>
      <c r="B85" t="s">
        <v>326</v>
      </c>
      <c r="C85">
        <v>2023</v>
      </c>
      <c r="D85">
        <v>55736064</v>
      </c>
      <c r="E85">
        <f>IFERROR(_xlfn.XLOOKUP(B85,euro!E$2:E$91,euro!Y$2:Y$91),0)</f>
        <v>0</v>
      </c>
    </row>
    <row r="86" spans="1:5" x14ac:dyDescent="0.2">
      <c r="A86" t="s">
        <v>327</v>
      </c>
      <c r="B86" t="s">
        <v>328</v>
      </c>
      <c r="C86">
        <v>2023</v>
      </c>
      <c r="D86">
        <v>766451</v>
      </c>
      <c r="E86">
        <f>IFERROR(_xlfn.XLOOKUP(B86,euro!E$2:E$91,euro!Y$2:Y$91),0)</f>
        <v>0</v>
      </c>
    </row>
    <row r="87" spans="1:5" x14ac:dyDescent="0.2">
      <c r="A87" t="s">
        <v>329</v>
      </c>
      <c r="B87" t="s">
        <v>330</v>
      </c>
      <c r="C87">
        <v>2023</v>
      </c>
      <c r="D87">
        <v>5927823</v>
      </c>
      <c r="E87">
        <f>IFERROR(_xlfn.XLOOKUP(B87,euro!E$2:E$91,euro!Y$2:Y$91),0)</f>
        <v>0</v>
      </c>
    </row>
    <row r="88" spans="1:5" x14ac:dyDescent="0.2">
      <c r="A88" t="s">
        <v>331</v>
      </c>
      <c r="B88" t="s">
        <v>332</v>
      </c>
      <c r="C88">
        <v>2023</v>
      </c>
      <c r="D88">
        <v>529653</v>
      </c>
      <c r="E88">
        <f>IFERROR(_xlfn.XLOOKUP(B88,euro!E$2:E$91,euro!Y$2:Y$91),0)</f>
        <v>0</v>
      </c>
    </row>
    <row r="89" spans="1:5" x14ac:dyDescent="0.2">
      <c r="A89" t="s">
        <v>333</v>
      </c>
      <c r="B89" t="s">
        <v>334</v>
      </c>
      <c r="C89">
        <v>2023</v>
      </c>
      <c r="D89">
        <v>1629648</v>
      </c>
      <c r="E89">
        <f>IFERROR(_xlfn.XLOOKUP(B89,euro!E$2:E$91,euro!Y$2:Y$91),0)</f>
        <v>0</v>
      </c>
    </row>
    <row r="90" spans="1:5" x14ac:dyDescent="0.2">
      <c r="A90" t="s">
        <v>335</v>
      </c>
      <c r="B90" t="s">
        <v>336</v>
      </c>
      <c r="C90">
        <v>2023</v>
      </c>
      <c r="D90">
        <v>24620520</v>
      </c>
      <c r="E90">
        <f>IFERROR(_xlfn.XLOOKUP(B90,euro!E$2:E$91,euro!Y$2:Y$91),0)</f>
        <v>0</v>
      </c>
    </row>
    <row r="91" spans="1:5" x14ac:dyDescent="0.2">
      <c r="A91" t="s">
        <v>337</v>
      </c>
      <c r="B91" t="s">
        <v>338</v>
      </c>
      <c r="C91">
        <v>2023</v>
      </c>
      <c r="D91">
        <v>146264</v>
      </c>
      <c r="E91">
        <f>IFERROR(_xlfn.XLOOKUP(B91,euro!E$2:E$91,euro!Y$2:Y$91),0)</f>
        <v>0</v>
      </c>
    </row>
    <row r="92" spans="1:5" x14ac:dyDescent="0.2">
      <c r="A92" t="s">
        <v>339</v>
      </c>
      <c r="B92" t="s">
        <v>340</v>
      </c>
      <c r="C92">
        <v>2023</v>
      </c>
      <c r="D92">
        <v>19881310</v>
      </c>
      <c r="E92">
        <f>IFERROR(_xlfn.XLOOKUP(B92,euro!E$2:E$91,euro!Y$2:Y$91),0)</f>
        <v>0</v>
      </c>
    </row>
    <row r="93" spans="1:5" x14ac:dyDescent="0.2">
      <c r="A93" t="s">
        <v>341</v>
      </c>
      <c r="B93" t="s">
        <v>342</v>
      </c>
      <c r="C93">
        <v>2023</v>
      </c>
      <c r="D93">
        <v>7248677</v>
      </c>
      <c r="E93">
        <f>IFERROR(_xlfn.XLOOKUP(B93,euro!E$2:E$91,euro!Y$2:Y$91),0)</f>
        <v>0</v>
      </c>
    </row>
    <row r="94" spans="1:5" x14ac:dyDescent="0.2">
      <c r="A94" t="s">
        <v>343</v>
      </c>
      <c r="B94" t="s">
        <v>344</v>
      </c>
      <c r="C94">
        <v>2023</v>
      </c>
      <c r="D94">
        <v>185385</v>
      </c>
      <c r="E94">
        <f>IFERROR(_xlfn.XLOOKUP(B94,euro!E$2:E$91,euro!Y$2:Y$91),0)</f>
        <v>0</v>
      </c>
    </row>
    <row r="95" spans="1:5" x14ac:dyDescent="0.2">
      <c r="A95" t="s">
        <v>345</v>
      </c>
      <c r="B95" t="s">
        <v>346</v>
      </c>
      <c r="C95">
        <v>2023</v>
      </c>
      <c r="D95">
        <v>12502692</v>
      </c>
      <c r="E95">
        <f>IFERROR(_xlfn.XLOOKUP(B95,euro!E$2:E$91,euro!Y$2:Y$91),0)</f>
        <v>0</v>
      </c>
    </row>
    <row r="96" spans="1:5" x14ac:dyDescent="0.2">
      <c r="A96" t="s">
        <v>347</v>
      </c>
      <c r="B96" t="s">
        <v>348</v>
      </c>
      <c r="C96">
        <v>2023</v>
      </c>
      <c r="D96">
        <v>6308441</v>
      </c>
      <c r="E96">
        <f>IFERROR(_xlfn.XLOOKUP(B96,euro!E$2:E$91,euro!Y$2:Y$91),0)</f>
        <v>0</v>
      </c>
    </row>
    <row r="97" spans="1:5" x14ac:dyDescent="0.2">
      <c r="A97" t="s">
        <v>349</v>
      </c>
      <c r="B97" t="s">
        <v>350</v>
      </c>
      <c r="C97">
        <v>2023</v>
      </c>
      <c r="D97">
        <v>900716</v>
      </c>
      <c r="E97">
        <f>IFERROR(_xlfn.XLOOKUP(B97,euro!E$2:E$91,euro!Y$2:Y$91),0)</f>
        <v>0</v>
      </c>
    </row>
    <row r="98" spans="1:5" x14ac:dyDescent="0.2">
      <c r="A98" t="s">
        <v>351</v>
      </c>
      <c r="B98" t="s">
        <v>352</v>
      </c>
      <c r="C98">
        <v>2023</v>
      </c>
      <c r="D98">
        <v>21411502</v>
      </c>
      <c r="E98">
        <f>IFERROR(_xlfn.XLOOKUP(B98,euro!E$2:E$91,euro!Y$2:Y$91),0)</f>
        <v>0</v>
      </c>
    </row>
    <row r="99" spans="1:5" x14ac:dyDescent="0.2">
      <c r="A99" t="s">
        <v>353</v>
      </c>
      <c r="B99" t="s">
        <v>354</v>
      </c>
      <c r="C99">
        <v>2023</v>
      </c>
      <c r="D99">
        <v>9694864</v>
      </c>
      <c r="E99">
        <f>IFERROR(_xlfn.XLOOKUP(B99,euro!E$2:E$91,euro!Y$2:Y$91),0)</f>
        <v>0</v>
      </c>
    </row>
    <row r="100" spans="1:5" x14ac:dyDescent="0.2">
      <c r="A100" t="s">
        <v>355</v>
      </c>
      <c r="B100" t="s">
        <v>356</v>
      </c>
      <c r="C100">
        <v>2023</v>
      </c>
      <c r="D100">
        <v>571493</v>
      </c>
      <c r="E100">
        <f>IFERROR(_xlfn.XLOOKUP(B100,euro!E$2:E$91,euro!Y$2:Y$91),0)</f>
        <v>0</v>
      </c>
    </row>
    <row r="101" spans="1:5" x14ac:dyDescent="0.2">
      <c r="A101" t="s">
        <v>357</v>
      </c>
      <c r="B101" t="s">
        <v>358</v>
      </c>
      <c r="C101">
        <v>2023</v>
      </c>
      <c r="D101">
        <v>389279</v>
      </c>
      <c r="E101">
        <f>IFERROR(_xlfn.XLOOKUP(B101,euro!E$2:E$91,euro!Y$2:Y$91),0)</f>
        <v>0</v>
      </c>
    </row>
    <row r="102" spans="1:5" x14ac:dyDescent="0.2">
      <c r="A102" t="s">
        <v>359</v>
      </c>
      <c r="C102">
        <v>2023</v>
      </c>
      <c r="D102">
        <v>181890290</v>
      </c>
      <c r="E102">
        <f>IFERROR(_xlfn.XLOOKUP(B102,euro!E$2:E$91,euro!Y$2:Y$91),0)</f>
        <v>0</v>
      </c>
    </row>
    <row r="103" spans="1:5" x14ac:dyDescent="0.2">
      <c r="A103" t="s">
        <v>360</v>
      </c>
      <c r="B103" t="s">
        <v>361</v>
      </c>
      <c r="C103">
        <v>2023</v>
      </c>
      <c r="D103">
        <v>2848394</v>
      </c>
      <c r="E103">
        <f>IFERROR(_xlfn.XLOOKUP(B103,euro!E$2:E$91,euro!Y$2:Y$91),0)</f>
        <v>0</v>
      </c>
    </row>
    <row r="104" spans="1:5" x14ac:dyDescent="0.2">
      <c r="A104" t="s">
        <v>362</v>
      </c>
      <c r="B104" t="s">
        <v>363</v>
      </c>
      <c r="C104">
        <v>2023</v>
      </c>
      <c r="D104">
        <v>0</v>
      </c>
      <c r="E104">
        <f>IFERROR(_xlfn.XLOOKUP(B104,euro!E$2:E$91,euro!Y$2:Y$91),0)</f>
        <v>0</v>
      </c>
    </row>
    <row r="105" spans="1:5" x14ac:dyDescent="0.2">
      <c r="A105" t="s">
        <v>364</v>
      </c>
      <c r="B105" t="s">
        <v>365</v>
      </c>
      <c r="C105">
        <v>2023</v>
      </c>
      <c r="D105">
        <v>89992344</v>
      </c>
      <c r="E105">
        <f>IFERROR(_xlfn.XLOOKUP(B105,euro!E$2:E$91,euro!Y$2:Y$91),0)</f>
        <v>0</v>
      </c>
    </row>
    <row r="106" spans="1:5" x14ac:dyDescent="0.2">
      <c r="A106" t="s">
        <v>366</v>
      </c>
      <c r="B106" t="s">
        <v>367</v>
      </c>
      <c r="C106">
        <v>2023</v>
      </c>
      <c r="D106">
        <v>542130</v>
      </c>
      <c r="E106">
        <f>IFERROR(_xlfn.XLOOKUP(B106,euro!E$2:E$91,euro!Y$2:Y$91),0)</f>
        <v>0</v>
      </c>
    </row>
    <row r="107" spans="1:5" x14ac:dyDescent="0.2">
      <c r="A107" t="s">
        <v>368</v>
      </c>
      <c r="B107" t="s">
        <v>369</v>
      </c>
      <c r="C107">
        <v>2023</v>
      </c>
      <c r="D107">
        <v>8274273</v>
      </c>
      <c r="E107">
        <f>IFERROR(_xlfn.XLOOKUP(B107,euro!E$2:E$91,euro!Y$2:Y$91),0)</f>
        <v>0</v>
      </c>
    </row>
    <row r="108" spans="1:5" x14ac:dyDescent="0.2">
      <c r="A108" t="s">
        <v>370</v>
      </c>
      <c r="B108" t="s">
        <v>371</v>
      </c>
      <c r="C108">
        <v>2023</v>
      </c>
      <c r="D108">
        <v>76581</v>
      </c>
      <c r="E108">
        <f>IFERROR(_xlfn.XLOOKUP(B108,euro!E$2:E$91,euro!Y$2:Y$91),0)</f>
        <v>0</v>
      </c>
    </row>
    <row r="109" spans="1:5" x14ac:dyDescent="0.2">
      <c r="A109" t="s">
        <v>372</v>
      </c>
      <c r="B109" t="s">
        <v>373</v>
      </c>
      <c r="C109">
        <v>2023</v>
      </c>
      <c r="D109">
        <v>14052436</v>
      </c>
      <c r="E109">
        <f>IFERROR(_xlfn.XLOOKUP(B109,euro!E$2:E$91,euro!Y$2:Y$91),0)</f>
        <v>0</v>
      </c>
    </row>
    <row r="110" spans="1:5" x14ac:dyDescent="0.2">
      <c r="A110" t="s">
        <v>374</v>
      </c>
      <c r="B110" t="s">
        <v>375</v>
      </c>
      <c r="C110">
        <v>2023</v>
      </c>
      <c r="D110">
        <v>23470270</v>
      </c>
      <c r="E110">
        <f>IFERROR(_xlfn.XLOOKUP(B110,euro!E$2:E$91,euro!Y$2:Y$91),0)</f>
        <v>0</v>
      </c>
    </row>
    <row r="111" spans="1:5" x14ac:dyDescent="0.2">
      <c r="A111" t="s">
        <v>376</v>
      </c>
      <c r="B111" t="s">
        <v>377</v>
      </c>
      <c r="C111">
        <v>2023</v>
      </c>
      <c r="D111">
        <v>2204923</v>
      </c>
      <c r="E111">
        <f>IFERROR(_xlfn.XLOOKUP(B111,euro!E$2:E$91,euro!Y$2:Y$91),0)</f>
        <v>0</v>
      </c>
    </row>
    <row r="112" spans="1:5" x14ac:dyDescent="0.2">
      <c r="A112" t="s">
        <v>378</v>
      </c>
      <c r="B112" t="s">
        <v>379</v>
      </c>
      <c r="C112">
        <v>2023</v>
      </c>
      <c r="D112">
        <v>5881086</v>
      </c>
      <c r="E112">
        <f>IFERROR(_xlfn.XLOOKUP(B112,euro!E$2:E$91,euro!Y$2:Y$91),0)</f>
        <v>0</v>
      </c>
    </row>
    <row r="113" spans="1:5" x14ac:dyDescent="0.2">
      <c r="A113" t="s">
        <v>380</v>
      </c>
      <c r="B113" t="s">
        <v>381</v>
      </c>
      <c r="C113">
        <v>2023</v>
      </c>
      <c r="D113">
        <v>557559</v>
      </c>
      <c r="E113">
        <f>IFERROR(_xlfn.XLOOKUP(B113,euro!E$2:E$91,euro!Y$2:Y$91),0)</f>
        <v>0</v>
      </c>
    </row>
    <row r="114" spans="1:5" x14ac:dyDescent="0.2">
      <c r="A114" t="s">
        <v>382</v>
      </c>
      <c r="B114" t="s">
        <v>383</v>
      </c>
      <c r="C114">
        <v>2023</v>
      </c>
      <c r="D114">
        <v>164537</v>
      </c>
      <c r="E114">
        <f>IFERROR(_xlfn.XLOOKUP(B114,euro!E$2:E$91,euro!Y$2:Y$91),0)</f>
        <v>0</v>
      </c>
    </row>
    <row r="115" spans="1:5" x14ac:dyDescent="0.2">
      <c r="A115" t="s">
        <v>384</v>
      </c>
      <c r="B115" t="s">
        <v>385</v>
      </c>
      <c r="C115">
        <v>2023</v>
      </c>
      <c r="D115">
        <v>636717</v>
      </c>
      <c r="E115">
        <f>IFERROR(_xlfn.XLOOKUP(B115,euro!E$2:E$91,euro!Y$2:Y$91),0)</f>
        <v>0</v>
      </c>
    </row>
    <row r="116" spans="1:5" x14ac:dyDescent="0.2">
      <c r="A116" t="s">
        <v>386</v>
      </c>
      <c r="B116" t="s">
        <v>387</v>
      </c>
      <c r="C116">
        <v>2023</v>
      </c>
      <c r="D116">
        <v>44599590</v>
      </c>
      <c r="E116">
        <f>IFERROR(_xlfn.XLOOKUP(B116,euro!E$2:E$91,euro!Y$2:Y$91),0)</f>
        <v>0</v>
      </c>
    </row>
    <row r="117" spans="1:5" x14ac:dyDescent="0.2">
      <c r="A117" t="s">
        <v>388</v>
      </c>
      <c r="B117" t="s">
        <v>389</v>
      </c>
      <c r="C117">
        <v>2023</v>
      </c>
      <c r="D117">
        <v>250230190</v>
      </c>
      <c r="E117">
        <f>IFERROR(_xlfn.XLOOKUP(B117,euro!E$2:E$91,euro!Y$2:Y$91),0)</f>
        <v>0</v>
      </c>
    </row>
    <row r="118" spans="1:5" x14ac:dyDescent="0.2">
      <c r="A118" t="s">
        <v>390</v>
      </c>
      <c r="B118" t="s">
        <v>391</v>
      </c>
      <c r="C118">
        <v>2023</v>
      </c>
      <c r="D118">
        <v>8669882</v>
      </c>
      <c r="E118">
        <f>IFERROR(_xlfn.XLOOKUP(B118,euro!E$2:E$91,euro!Y$2:Y$91),0)</f>
        <v>0</v>
      </c>
    </row>
    <row r="119" spans="1:5" x14ac:dyDescent="0.2">
      <c r="A119" t="s">
        <v>392</v>
      </c>
      <c r="B119" t="s">
        <v>393</v>
      </c>
      <c r="C119">
        <v>2023</v>
      </c>
      <c r="D119">
        <v>6913363</v>
      </c>
      <c r="E119">
        <f>IFERROR(_xlfn.XLOOKUP(B119,euro!E$2:E$91,euro!Y$2:Y$91),0)</f>
        <v>0</v>
      </c>
    </row>
    <row r="120" spans="1:5" x14ac:dyDescent="0.2">
      <c r="A120" t="s">
        <v>394</v>
      </c>
      <c r="B120" t="s">
        <v>395</v>
      </c>
      <c r="C120">
        <v>2023</v>
      </c>
      <c r="D120">
        <v>731035</v>
      </c>
      <c r="E120">
        <f>IFERROR(_xlfn.XLOOKUP(B120,euro!E$2:E$91,euro!Y$2:Y$91),0)</f>
        <v>0</v>
      </c>
    </row>
    <row r="121" spans="1:5" x14ac:dyDescent="0.2">
      <c r="A121" t="s">
        <v>396</v>
      </c>
      <c r="B121" t="s">
        <v>397</v>
      </c>
      <c r="C121">
        <v>2023</v>
      </c>
      <c r="D121">
        <v>1029613</v>
      </c>
      <c r="E121">
        <f>IFERROR(_xlfn.XLOOKUP(B121,euro!E$2:E$91,euro!Y$2:Y$91),0)</f>
        <v>0</v>
      </c>
    </row>
    <row r="122" spans="1:5" x14ac:dyDescent="0.2">
      <c r="A122" t="s">
        <v>398</v>
      </c>
      <c r="B122" t="s">
        <v>399</v>
      </c>
      <c r="C122">
        <v>2023</v>
      </c>
      <c r="D122">
        <v>17570662</v>
      </c>
      <c r="E122">
        <f>IFERROR(_xlfn.XLOOKUP(B122,euro!E$2:E$91,euro!Y$2:Y$91),0)</f>
        <v>0</v>
      </c>
    </row>
    <row r="123" spans="1:5" x14ac:dyDescent="0.2">
      <c r="A123" t="s">
        <v>400</v>
      </c>
      <c r="C123">
        <v>2023</v>
      </c>
      <c r="D123">
        <v>4887137300</v>
      </c>
      <c r="E123">
        <f>IFERROR(_xlfn.XLOOKUP(B123,euro!E$2:E$91,euro!Y$2:Y$91),0)</f>
        <v>0</v>
      </c>
    </row>
    <row r="124" spans="1:5" x14ac:dyDescent="0.2">
      <c r="A124" t="s">
        <v>401</v>
      </c>
      <c r="C124">
        <v>2023</v>
      </c>
      <c r="D124">
        <v>4887137300</v>
      </c>
      <c r="E124">
        <f>IFERROR(_xlfn.XLOOKUP(B124,euro!E$2:E$91,euro!Y$2:Y$91),0)</f>
        <v>0</v>
      </c>
    </row>
    <row r="125" spans="1:5" x14ac:dyDescent="0.2">
      <c r="A125" t="s">
        <v>402</v>
      </c>
      <c r="C125">
        <v>2023</v>
      </c>
      <c r="D125">
        <v>2402140400</v>
      </c>
      <c r="E125">
        <f>IFERROR(_xlfn.XLOOKUP(B125,euro!E$2:E$91,euro!Y$2:Y$91),0)</f>
        <v>0</v>
      </c>
    </row>
    <row r="126" spans="1:5" x14ac:dyDescent="0.2">
      <c r="A126" t="s">
        <v>403</v>
      </c>
      <c r="C126">
        <v>2023</v>
      </c>
      <c r="D126">
        <v>2094314400</v>
      </c>
      <c r="E126">
        <f>IFERROR(_xlfn.XLOOKUP(B126,euro!E$2:E$91,euro!Y$2:Y$91),0)</f>
        <v>0</v>
      </c>
    </row>
    <row r="127" spans="1:5" x14ac:dyDescent="0.2">
      <c r="A127" t="s">
        <v>404</v>
      </c>
      <c r="C127">
        <v>2023</v>
      </c>
      <c r="D127">
        <v>2484996600</v>
      </c>
      <c r="E127">
        <f>IFERROR(_xlfn.XLOOKUP(B127,euro!E$2:E$91,euro!Y$2:Y$91),0)</f>
        <v>0</v>
      </c>
    </row>
    <row r="128" spans="1:5" x14ac:dyDescent="0.2">
      <c r="A128" t="s">
        <v>405</v>
      </c>
      <c r="C128">
        <v>2023</v>
      </c>
      <c r="D128">
        <v>2792822800</v>
      </c>
      <c r="E128">
        <f>IFERROR(_xlfn.XLOOKUP(B128,euro!E$2:E$91,euro!Y$2:Y$91),0)</f>
        <v>0</v>
      </c>
    </row>
    <row r="129" spans="1:5" x14ac:dyDescent="0.2">
      <c r="A129" t="s">
        <v>406</v>
      </c>
      <c r="B129" t="s">
        <v>407</v>
      </c>
      <c r="C129">
        <v>2023</v>
      </c>
      <c r="D129">
        <v>713659</v>
      </c>
      <c r="E129">
        <f>IFERROR(_xlfn.XLOOKUP(B129,euro!E$2:E$91,euro!Y$2:Y$91),0)</f>
        <v>0</v>
      </c>
    </row>
    <row r="130" spans="1:5" x14ac:dyDescent="0.2">
      <c r="A130" t="s">
        <v>408</v>
      </c>
      <c r="B130" t="s">
        <v>409</v>
      </c>
      <c r="C130">
        <v>2023</v>
      </c>
      <c r="D130">
        <v>1382096</v>
      </c>
      <c r="E130">
        <f>IFERROR(_xlfn.XLOOKUP(B130,euro!E$2:E$91,euro!Y$2:Y$91),0)</f>
        <v>0</v>
      </c>
    </row>
    <row r="131" spans="1:5" x14ac:dyDescent="0.2">
      <c r="A131" t="s">
        <v>410</v>
      </c>
      <c r="B131" t="s">
        <v>411</v>
      </c>
      <c r="C131">
        <v>2023</v>
      </c>
      <c r="D131">
        <v>882500</v>
      </c>
      <c r="E131">
        <f>IFERROR(_xlfn.XLOOKUP(B131,euro!E$2:E$91,euro!Y$2:Y$91),0)</f>
        <v>0</v>
      </c>
    </row>
    <row r="132" spans="1:5" x14ac:dyDescent="0.2">
      <c r="A132" t="s">
        <v>412</v>
      </c>
      <c r="B132" t="s">
        <v>413</v>
      </c>
      <c r="C132">
        <v>2023</v>
      </c>
      <c r="D132">
        <v>5320944</v>
      </c>
      <c r="E132">
        <f>IFERROR(_xlfn.XLOOKUP(B132,euro!E$2:E$91,euro!Y$2:Y$91),0)</f>
        <v>0</v>
      </c>
    </row>
    <row r="133" spans="1:5" x14ac:dyDescent="0.2">
      <c r="A133" t="s">
        <v>414</v>
      </c>
      <c r="B133" t="s">
        <v>415</v>
      </c>
      <c r="C133">
        <v>2023</v>
      </c>
      <c r="D133">
        <v>772635</v>
      </c>
      <c r="E133">
        <f>IFERROR(_xlfn.XLOOKUP(B133,euro!E$2:E$91,euro!Y$2:Y$91),0)</f>
        <v>0</v>
      </c>
    </row>
    <row r="134" spans="1:5" x14ac:dyDescent="0.2">
      <c r="A134" t="s">
        <v>416</v>
      </c>
      <c r="B134" t="s">
        <v>417</v>
      </c>
      <c r="C134">
        <v>2023</v>
      </c>
      <c r="D134">
        <v>11922203</v>
      </c>
      <c r="E134">
        <f>IFERROR(_xlfn.XLOOKUP(B134,euro!E$2:E$91,euro!Y$2:Y$91),0)</f>
        <v>0</v>
      </c>
    </row>
    <row r="135" spans="1:5" x14ac:dyDescent="0.2">
      <c r="A135" t="s">
        <v>418</v>
      </c>
      <c r="B135" t="s">
        <v>419</v>
      </c>
      <c r="C135">
        <v>2023</v>
      </c>
      <c r="D135">
        <v>608955</v>
      </c>
      <c r="E135">
        <f>IFERROR(_xlfn.XLOOKUP(B135,euro!E$2:E$91,euro!Y$2:Y$91),0)</f>
        <v>0</v>
      </c>
    </row>
    <row r="136" spans="1:5" x14ac:dyDescent="0.2">
      <c r="A136" t="s">
        <v>420</v>
      </c>
      <c r="B136" t="s">
        <v>421</v>
      </c>
      <c r="C136">
        <v>2023</v>
      </c>
      <c r="D136">
        <v>362973</v>
      </c>
      <c r="E136">
        <f>IFERROR(_xlfn.XLOOKUP(B136,euro!E$2:E$91,euro!Y$2:Y$91),0)</f>
        <v>0</v>
      </c>
    </row>
    <row r="137" spans="1:5" x14ac:dyDescent="0.2">
      <c r="A137" t="s">
        <v>422</v>
      </c>
      <c r="B137" t="s">
        <v>423</v>
      </c>
      <c r="C137">
        <v>2023</v>
      </c>
      <c r="D137">
        <v>3875027</v>
      </c>
      <c r="E137">
        <f>IFERROR(_xlfn.XLOOKUP(B137,euro!E$2:E$91,euro!Y$2:Y$91),0)</f>
        <v>0</v>
      </c>
    </row>
    <row r="138" spans="1:5" x14ac:dyDescent="0.2">
      <c r="A138" t="s">
        <v>424</v>
      </c>
      <c r="B138" t="s">
        <v>425</v>
      </c>
      <c r="C138">
        <v>2023</v>
      </c>
      <c r="D138">
        <v>329342</v>
      </c>
      <c r="E138">
        <f>IFERROR(_xlfn.XLOOKUP(B138,euro!E$2:E$91,euro!Y$2:Y$91),0)</f>
        <v>0</v>
      </c>
    </row>
    <row r="139" spans="1:5" x14ac:dyDescent="0.2">
      <c r="A139" t="s">
        <v>426</v>
      </c>
      <c r="B139" t="s">
        <v>427</v>
      </c>
      <c r="C139">
        <v>2023</v>
      </c>
      <c r="D139">
        <v>4378933</v>
      </c>
      <c r="E139">
        <f>IFERROR(_xlfn.XLOOKUP(B139,euro!E$2:E$91,euro!Y$2:Y$91),0)</f>
        <v>0</v>
      </c>
    </row>
    <row r="140" spans="1:5" x14ac:dyDescent="0.2">
      <c r="A140" t="s">
        <v>428</v>
      </c>
      <c r="B140" t="s">
        <v>429</v>
      </c>
      <c r="C140">
        <v>2023</v>
      </c>
      <c r="D140">
        <v>2864751</v>
      </c>
      <c r="E140">
        <f>IFERROR(_xlfn.XLOOKUP(B140,euro!E$2:E$91,euro!Y$2:Y$91),0)</f>
        <v>0</v>
      </c>
    </row>
    <row r="141" spans="1:5" x14ac:dyDescent="0.2">
      <c r="A141" t="s">
        <v>430</v>
      </c>
      <c r="C141">
        <v>2023</v>
      </c>
      <c r="D141">
        <v>13890804000</v>
      </c>
      <c r="E141">
        <f>IFERROR(_xlfn.XLOOKUP(B141,euro!E$2:E$91,euro!Y$2:Y$91),0)</f>
        <v>0</v>
      </c>
    </row>
    <row r="142" spans="1:5" x14ac:dyDescent="0.2">
      <c r="A142" t="s">
        <v>431</v>
      </c>
      <c r="B142" t="s">
        <v>432</v>
      </c>
      <c r="C142">
        <v>2023</v>
      </c>
      <c r="D142">
        <v>12404354</v>
      </c>
      <c r="E142">
        <f>IFERROR(_xlfn.XLOOKUP(B142,euro!E$2:E$91,euro!Y$2:Y$91),0)</f>
        <v>0</v>
      </c>
    </row>
    <row r="143" spans="1:5" x14ac:dyDescent="0.2">
      <c r="A143" t="s">
        <v>433</v>
      </c>
      <c r="B143" t="s">
        <v>434</v>
      </c>
      <c r="C143">
        <v>2023</v>
      </c>
      <c r="D143">
        <v>32957054</v>
      </c>
      <c r="E143">
        <f>IFERROR(_xlfn.XLOOKUP(B143,euro!E$2:E$91,euro!Y$2:Y$91),0)</f>
        <v>0</v>
      </c>
    </row>
    <row r="144" spans="1:5" x14ac:dyDescent="0.2">
      <c r="A144" t="s">
        <v>435</v>
      </c>
      <c r="B144" t="s">
        <v>436</v>
      </c>
      <c r="C144">
        <v>2023</v>
      </c>
      <c r="D144">
        <v>762357570</v>
      </c>
      <c r="E144">
        <f>IFERROR(_xlfn.XLOOKUP(B144,euro!E$2:E$91,euro!Y$2:Y$91),0)</f>
        <v>0</v>
      </c>
    </row>
    <row r="145" spans="1:5" x14ac:dyDescent="0.2">
      <c r="A145" t="s">
        <v>437</v>
      </c>
      <c r="C145">
        <v>2023</v>
      </c>
      <c r="D145">
        <v>501515680</v>
      </c>
      <c r="E145">
        <f>IFERROR(_xlfn.XLOOKUP(B145,euro!E$2:E$91,euro!Y$2:Y$91),0)</f>
        <v>0</v>
      </c>
    </row>
    <row r="146" spans="1:5" x14ac:dyDescent="0.2">
      <c r="A146" t="s">
        <v>438</v>
      </c>
      <c r="C146">
        <v>2023</v>
      </c>
      <c r="D146">
        <v>581238100</v>
      </c>
      <c r="E146">
        <f>IFERROR(_xlfn.XLOOKUP(B146,euro!E$2:E$91,euro!Y$2:Y$91),0)</f>
        <v>0</v>
      </c>
    </row>
    <row r="147" spans="1:5" x14ac:dyDescent="0.2">
      <c r="A147" t="s">
        <v>439</v>
      </c>
      <c r="B147" t="s">
        <v>440</v>
      </c>
      <c r="C147">
        <v>2023</v>
      </c>
      <c r="D147">
        <v>789675840</v>
      </c>
      <c r="E147">
        <f>IFERROR(_xlfn.XLOOKUP(B147,euro!E$2:E$91,euro!Y$2:Y$91),0)</f>
        <v>0</v>
      </c>
    </row>
    <row r="148" spans="1:5" x14ac:dyDescent="0.2">
      <c r="A148" t="s">
        <v>441</v>
      </c>
      <c r="B148" t="s">
        <v>442</v>
      </c>
      <c r="C148">
        <v>2023</v>
      </c>
      <c r="D148">
        <v>227909700</v>
      </c>
      <c r="E148">
        <f>IFERROR(_xlfn.XLOOKUP(B148,euro!E$2:E$91,euro!Y$2:Y$91),0)</f>
        <v>0</v>
      </c>
    </row>
    <row r="149" spans="1:5" x14ac:dyDescent="0.2">
      <c r="A149" t="s">
        <v>443</v>
      </c>
      <c r="B149" t="s">
        <v>444</v>
      </c>
      <c r="C149">
        <v>2023</v>
      </c>
      <c r="D149">
        <v>23119264</v>
      </c>
      <c r="E149">
        <f>IFERROR(_xlfn.XLOOKUP(B149,euro!E$2:E$91,euro!Y$2:Y$91),0)</f>
        <v>0</v>
      </c>
    </row>
    <row r="150" spans="1:5" x14ac:dyDescent="0.2">
      <c r="A150" t="s">
        <v>445</v>
      </c>
      <c r="B150" t="s">
        <v>446</v>
      </c>
      <c r="C150">
        <v>2023</v>
      </c>
      <c r="D150">
        <v>286174900</v>
      </c>
      <c r="E150">
        <f>IFERROR(_xlfn.XLOOKUP(B150,euro!E$2:E$91,euro!Y$2:Y$91),0)</f>
        <v>0</v>
      </c>
    </row>
    <row r="151" spans="1:5" x14ac:dyDescent="0.2">
      <c r="A151" t="s">
        <v>447</v>
      </c>
      <c r="B151" t="s">
        <v>448</v>
      </c>
      <c r="C151">
        <v>2023</v>
      </c>
      <c r="D151">
        <v>69287</v>
      </c>
      <c r="E151">
        <f>IFERROR(_xlfn.XLOOKUP(B151,euro!E$2:E$91,euro!Y$2:Y$91),0)</f>
        <v>0</v>
      </c>
    </row>
    <row r="152" spans="1:5" x14ac:dyDescent="0.2">
      <c r="A152" t="s">
        <v>449</v>
      </c>
      <c r="B152" t="s">
        <v>450</v>
      </c>
      <c r="C152">
        <v>2023</v>
      </c>
      <c r="D152">
        <v>8220213</v>
      </c>
      <c r="E152">
        <f>IFERROR(_xlfn.XLOOKUP(B152,euro!E$2:E$91,euro!Y$2:Y$91),0)</f>
        <v>0</v>
      </c>
    </row>
    <row r="153" spans="1:5" x14ac:dyDescent="0.2">
      <c r="A153" t="s">
        <v>451</v>
      </c>
      <c r="B153" t="s">
        <v>452</v>
      </c>
      <c r="C153">
        <v>2023</v>
      </c>
      <c r="D153">
        <v>123168720</v>
      </c>
      <c r="E153">
        <f>IFERROR(_xlfn.XLOOKUP(B153,euro!E$2:E$91,euro!Y$2:Y$91),0)</f>
        <v>0</v>
      </c>
    </row>
    <row r="154" spans="1:5" x14ac:dyDescent="0.2">
      <c r="A154" t="s">
        <v>453</v>
      </c>
      <c r="C154">
        <v>2023</v>
      </c>
      <c r="D154">
        <v>0</v>
      </c>
      <c r="E154">
        <f>IFERROR(_xlfn.XLOOKUP(B154,euro!E$2:E$91,euro!Y$2:Y$91),0)</f>
        <v>0</v>
      </c>
    </row>
    <row r="155" spans="1:5" x14ac:dyDescent="0.2">
      <c r="A155" t="s">
        <v>454</v>
      </c>
      <c r="B155" t="s">
        <v>455</v>
      </c>
      <c r="C155">
        <v>2023</v>
      </c>
      <c r="D155">
        <v>24157068</v>
      </c>
      <c r="E155">
        <f>IFERROR(_xlfn.XLOOKUP(B155,euro!E$2:E$91,euro!Y$2:Y$91),0)</f>
        <v>0</v>
      </c>
    </row>
    <row r="156" spans="1:5" x14ac:dyDescent="0.2">
      <c r="A156" t="s">
        <v>456</v>
      </c>
      <c r="B156" t="s">
        <v>457</v>
      </c>
      <c r="C156">
        <v>2023</v>
      </c>
      <c r="D156">
        <v>15558805</v>
      </c>
      <c r="E156">
        <f>IFERROR(_xlfn.XLOOKUP(B156,euro!E$2:E$91,euro!Y$2:Y$91),0)</f>
        <v>0</v>
      </c>
    </row>
    <row r="157" spans="1:5" x14ac:dyDescent="0.2">
      <c r="A157" t="s">
        <v>458</v>
      </c>
      <c r="B157" t="s">
        <v>459</v>
      </c>
      <c r="C157">
        <v>2023</v>
      </c>
      <c r="D157">
        <v>2493633</v>
      </c>
      <c r="E157">
        <f>IFERROR(_xlfn.XLOOKUP(B157,euro!E$2:E$91,euro!Y$2:Y$91),0)</f>
        <v>0</v>
      </c>
    </row>
    <row r="158" spans="1:5" x14ac:dyDescent="0.2">
      <c r="A158" t="s">
        <v>460</v>
      </c>
      <c r="B158" t="s">
        <v>461</v>
      </c>
      <c r="C158">
        <v>2023</v>
      </c>
      <c r="D158">
        <v>834001</v>
      </c>
      <c r="E158">
        <f>IFERROR(_xlfn.XLOOKUP(B158,euro!E$2:E$91,euro!Y$2:Y$91),0)</f>
        <v>0</v>
      </c>
    </row>
    <row r="159" spans="1:5" x14ac:dyDescent="0.2">
      <c r="A159" t="s">
        <v>462</v>
      </c>
      <c r="B159" t="s">
        <v>463</v>
      </c>
      <c r="C159">
        <v>2023</v>
      </c>
      <c r="D159">
        <v>64219084</v>
      </c>
      <c r="E159">
        <f>IFERROR(_xlfn.XLOOKUP(B159,euro!E$2:E$91,euro!Y$2:Y$91),0)</f>
        <v>0</v>
      </c>
    </row>
    <row r="160" spans="1:5" x14ac:dyDescent="0.2">
      <c r="A160" t="s">
        <v>464</v>
      </c>
      <c r="B160" t="s">
        <v>465</v>
      </c>
      <c r="C160">
        <v>2023</v>
      </c>
      <c r="D160">
        <v>131221</v>
      </c>
      <c r="E160">
        <f>IFERROR(_xlfn.XLOOKUP(B160,euro!E$2:E$91,euro!Y$2:Y$91),0)</f>
        <v>0</v>
      </c>
    </row>
    <row r="161" spans="1:5" x14ac:dyDescent="0.2">
      <c r="A161" t="s">
        <v>466</v>
      </c>
      <c r="C161">
        <v>2023</v>
      </c>
      <c r="D161">
        <v>209172480</v>
      </c>
      <c r="E161">
        <f>IFERROR(_xlfn.XLOOKUP(B161,euro!E$2:E$91,euro!Y$2:Y$91),0)</f>
        <v>0</v>
      </c>
    </row>
    <row r="162" spans="1:5" x14ac:dyDescent="0.2">
      <c r="A162" t="s">
        <v>467</v>
      </c>
      <c r="C162">
        <v>2023</v>
      </c>
      <c r="D162">
        <v>4879772000</v>
      </c>
      <c r="E162">
        <f>IFERROR(_xlfn.XLOOKUP(B162,euro!E$2:E$91,euro!Y$2:Y$91),0)</f>
        <v>0</v>
      </c>
    </row>
    <row r="163" spans="1:5" x14ac:dyDescent="0.2">
      <c r="A163" t="s">
        <v>468</v>
      </c>
      <c r="B163" t="s">
        <v>469</v>
      </c>
      <c r="C163">
        <v>2023</v>
      </c>
      <c r="D163">
        <v>1042865.06</v>
      </c>
      <c r="E163">
        <f>IFERROR(_xlfn.XLOOKUP(B163,euro!E$2:E$91,euro!Y$2:Y$91),0)</f>
        <v>0</v>
      </c>
    </row>
    <row r="164" spans="1:5" x14ac:dyDescent="0.2">
      <c r="A164" t="s">
        <v>470</v>
      </c>
      <c r="B164" t="s">
        <v>471</v>
      </c>
      <c r="C164">
        <v>2023</v>
      </c>
      <c r="D164">
        <v>4446771</v>
      </c>
      <c r="E164">
        <f>IFERROR(_xlfn.XLOOKUP(B164,euro!E$2:E$91,euro!Y$2:Y$91),0)</f>
        <v>0</v>
      </c>
    </row>
    <row r="165" spans="1:5" x14ac:dyDescent="0.2">
      <c r="A165" t="s">
        <v>472</v>
      </c>
      <c r="B165" t="s">
        <v>473</v>
      </c>
      <c r="C165">
        <v>2023</v>
      </c>
      <c r="D165">
        <v>1852568</v>
      </c>
      <c r="E165">
        <f>IFERROR(_xlfn.XLOOKUP(B165,euro!E$2:E$91,euro!Y$2:Y$91),0)</f>
        <v>0</v>
      </c>
    </row>
    <row r="166" spans="1:5" x14ac:dyDescent="0.2">
      <c r="A166" t="s">
        <v>474</v>
      </c>
      <c r="B166" t="s">
        <v>475</v>
      </c>
      <c r="C166">
        <v>2023</v>
      </c>
      <c r="D166">
        <v>276296770</v>
      </c>
      <c r="E166">
        <f>IFERROR(_xlfn.XLOOKUP(B166,euro!E$2:E$91,euro!Y$2:Y$91),0)</f>
        <v>0</v>
      </c>
    </row>
    <row r="167" spans="1:5" x14ac:dyDescent="0.2">
      <c r="A167" t="s">
        <v>476</v>
      </c>
      <c r="B167" t="s">
        <v>477</v>
      </c>
      <c r="C167">
        <v>2023</v>
      </c>
      <c r="D167">
        <v>2205334</v>
      </c>
      <c r="E167">
        <f>IFERROR(_xlfn.XLOOKUP(B167,euro!E$2:E$91,euro!Y$2:Y$91),0)</f>
        <v>0</v>
      </c>
    </row>
    <row r="168" spans="1:5" x14ac:dyDescent="0.2">
      <c r="A168" t="s">
        <v>478</v>
      </c>
      <c r="B168" t="s">
        <v>479</v>
      </c>
      <c r="C168">
        <v>2023</v>
      </c>
      <c r="D168">
        <v>6743016</v>
      </c>
      <c r="E168">
        <f>IFERROR(_xlfn.XLOOKUP(B168,euro!E$2:E$91,euro!Y$2:Y$91),0)</f>
        <v>0</v>
      </c>
    </row>
    <row r="169" spans="1:5" x14ac:dyDescent="0.2">
      <c r="A169" t="s">
        <v>480</v>
      </c>
      <c r="B169" t="s">
        <v>481</v>
      </c>
      <c r="C169">
        <v>2023</v>
      </c>
      <c r="D169">
        <v>147722</v>
      </c>
      <c r="E169">
        <f>IFERROR(_xlfn.XLOOKUP(B169,euro!E$2:E$91,euro!Y$2:Y$91),0)</f>
        <v>0</v>
      </c>
    </row>
    <row r="170" spans="1:5" x14ac:dyDescent="0.2">
      <c r="A170" t="s">
        <v>482</v>
      </c>
      <c r="B170" t="s">
        <v>483</v>
      </c>
      <c r="C170">
        <v>2023</v>
      </c>
      <c r="D170">
        <v>5036898</v>
      </c>
      <c r="E170">
        <f>IFERROR(_xlfn.XLOOKUP(B170,euro!E$2:E$91,euro!Y$2:Y$91),0)</f>
        <v>0</v>
      </c>
    </row>
    <row r="171" spans="1:5" x14ac:dyDescent="0.2">
      <c r="A171" t="s">
        <v>484</v>
      </c>
      <c r="B171" t="s">
        <v>485</v>
      </c>
      <c r="C171">
        <v>2023</v>
      </c>
      <c r="D171">
        <v>144037</v>
      </c>
      <c r="E171">
        <f>IFERROR(_xlfn.XLOOKUP(B171,euro!E$2:E$91,euro!Y$2:Y$91),0)</f>
        <v>0</v>
      </c>
    </row>
    <row r="172" spans="1:5" x14ac:dyDescent="0.2">
      <c r="A172" t="s">
        <v>486</v>
      </c>
      <c r="C172">
        <v>2023</v>
      </c>
      <c r="D172">
        <v>2894337800</v>
      </c>
      <c r="E172">
        <f>IFERROR(_xlfn.XLOOKUP(B172,euro!E$2:E$91,euro!Y$2:Y$91),0)</f>
        <v>0</v>
      </c>
    </row>
    <row r="173" spans="1:5" x14ac:dyDescent="0.2">
      <c r="A173" t="s">
        <v>487</v>
      </c>
      <c r="B173" t="s">
        <v>488</v>
      </c>
      <c r="C173">
        <v>2023</v>
      </c>
      <c r="D173">
        <v>5329303</v>
      </c>
      <c r="E173">
        <f>IFERROR(_xlfn.XLOOKUP(B173,euro!E$2:E$91,euro!Y$2:Y$91),0)</f>
        <v>0</v>
      </c>
    </row>
    <row r="174" spans="1:5" x14ac:dyDescent="0.2">
      <c r="A174" t="s">
        <v>489</v>
      </c>
      <c r="B174" t="s">
        <v>490</v>
      </c>
      <c r="C174">
        <v>2023</v>
      </c>
      <c r="D174">
        <v>44183664</v>
      </c>
      <c r="E174">
        <f>IFERROR(_xlfn.XLOOKUP(B174,euro!E$2:E$91,euro!Y$2:Y$91),0)</f>
        <v>0</v>
      </c>
    </row>
    <row r="175" spans="1:5" x14ac:dyDescent="0.2">
      <c r="A175" t="s">
        <v>491</v>
      </c>
      <c r="B175" t="s">
        <v>492</v>
      </c>
      <c r="C175">
        <v>2023</v>
      </c>
      <c r="D175">
        <v>2406849</v>
      </c>
      <c r="E175">
        <f>IFERROR(_xlfn.XLOOKUP(B175,euro!E$2:E$91,euro!Y$2:Y$91),0)</f>
        <v>0</v>
      </c>
    </row>
    <row r="176" spans="1:5" x14ac:dyDescent="0.2">
      <c r="A176" t="s">
        <v>493</v>
      </c>
      <c r="B176" t="s">
        <v>494</v>
      </c>
      <c r="C176">
        <v>2023</v>
      </c>
      <c r="D176">
        <v>25596</v>
      </c>
      <c r="E176">
        <f>IFERROR(_xlfn.XLOOKUP(B176,euro!E$2:E$91,euro!Y$2:Y$91),0)</f>
        <v>0</v>
      </c>
    </row>
    <row r="177" spans="1:5" x14ac:dyDescent="0.2">
      <c r="A177" t="s">
        <v>495</v>
      </c>
      <c r="B177" t="s">
        <v>496</v>
      </c>
      <c r="C177">
        <v>2023</v>
      </c>
      <c r="D177">
        <v>68961176</v>
      </c>
      <c r="E177">
        <f>IFERROR(_xlfn.XLOOKUP(B177,euro!E$2:E$91,euro!Y$2:Y$91),0)</f>
        <v>0</v>
      </c>
    </row>
    <row r="178" spans="1:5" x14ac:dyDescent="0.2">
      <c r="A178" t="s">
        <v>497</v>
      </c>
      <c r="B178" t="s">
        <v>498</v>
      </c>
      <c r="C178">
        <v>2023</v>
      </c>
      <c r="D178">
        <v>9093456</v>
      </c>
      <c r="E178">
        <f>IFERROR(_xlfn.XLOOKUP(B178,euro!E$2:E$91,euro!Y$2:Y$91),0)</f>
        <v>0</v>
      </c>
    </row>
    <row r="179" spans="1:5" x14ac:dyDescent="0.2">
      <c r="A179" t="s">
        <v>499</v>
      </c>
      <c r="B179" t="s">
        <v>500</v>
      </c>
      <c r="C179">
        <v>2023</v>
      </c>
      <c r="D179">
        <v>31792970</v>
      </c>
      <c r="E179">
        <f>IFERROR(_xlfn.XLOOKUP(B179,euro!E$2:E$91,euro!Y$2:Y$91),0)</f>
        <v>0</v>
      </c>
    </row>
    <row r="180" spans="1:5" x14ac:dyDescent="0.2">
      <c r="A180" t="s">
        <v>501</v>
      </c>
      <c r="B180" t="s">
        <v>502</v>
      </c>
      <c r="C180">
        <v>2023</v>
      </c>
      <c r="D180">
        <v>3442664</v>
      </c>
      <c r="E180">
        <f>IFERROR(_xlfn.XLOOKUP(B180,euro!E$2:E$91,euro!Y$2:Y$91),0)</f>
        <v>0</v>
      </c>
    </row>
    <row r="181" spans="1:5" x14ac:dyDescent="0.2">
      <c r="A181" t="s">
        <v>503</v>
      </c>
      <c r="B181" t="s">
        <v>504</v>
      </c>
      <c r="C181">
        <v>2023</v>
      </c>
      <c r="D181">
        <v>58705</v>
      </c>
      <c r="E181">
        <f>IFERROR(_xlfn.XLOOKUP(B181,euro!E$2:E$91,euro!Y$2:Y$91),0)</f>
        <v>0</v>
      </c>
    </row>
    <row r="182" spans="1:5" x14ac:dyDescent="0.2">
      <c r="A182" t="s">
        <v>505</v>
      </c>
      <c r="B182" t="s">
        <v>506</v>
      </c>
      <c r="C182">
        <v>2023</v>
      </c>
      <c r="D182">
        <v>18347820</v>
      </c>
      <c r="E182">
        <f>IFERROR(_xlfn.XLOOKUP(B182,euro!E$2:E$91,euro!Y$2:Y$91),0)</f>
        <v>0</v>
      </c>
    </row>
    <row r="183" spans="1:5" x14ac:dyDescent="0.2">
      <c r="A183" t="s">
        <v>507</v>
      </c>
      <c r="B183" t="s">
        <v>508</v>
      </c>
      <c r="C183">
        <v>2023</v>
      </c>
      <c r="D183">
        <v>5068005</v>
      </c>
      <c r="E183">
        <f>IFERROR(_xlfn.XLOOKUP(B183,euro!E$2:E$91,euro!Y$2:Y$91),0)</f>
        <v>0</v>
      </c>
    </row>
    <row r="184" spans="1:5" x14ac:dyDescent="0.2">
      <c r="A184" t="s">
        <v>509</v>
      </c>
      <c r="B184" t="s">
        <v>510</v>
      </c>
      <c r="C184">
        <v>2023</v>
      </c>
      <c r="D184">
        <v>5428299</v>
      </c>
      <c r="E184">
        <f>IFERROR(_xlfn.XLOOKUP(B184,euro!E$2:E$91,euro!Y$2:Y$91),0)</f>
        <v>0</v>
      </c>
    </row>
    <row r="185" spans="1:5" x14ac:dyDescent="0.2">
      <c r="A185" t="s">
        <v>511</v>
      </c>
      <c r="B185" t="s">
        <v>512</v>
      </c>
      <c r="C185">
        <v>2023</v>
      </c>
      <c r="D185">
        <v>3133399</v>
      </c>
      <c r="E185">
        <f>IFERROR(_xlfn.XLOOKUP(B185,euro!E$2:E$91,euro!Y$2:Y$91),0)</f>
        <v>0</v>
      </c>
    </row>
    <row r="186" spans="1:5" x14ac:dyDescent="0.2">
      <c r="A186" t="s">
        <v>513</v>
      </c>
      <c r="B186" t="s">
        <v>514</v>
      </c>
      <c r="C186">
        <v>2023</v>
      </c>
      <c r="D186">
        <v>129376100</v>
      </c>
      <c r="E186">
        <f>IFERROR(_xlfn.XLOOKUP(B186,euro!E$2:E$91,euro!Y$2:Y$91),0)</f>
        <v>0</v>
      </c>
    </row>
    <row r="187" spans="1:5" x14ac:dyDescent="0.2">
      <c r="A187" t="s">
        <v>515</v>
      </c>
      <c r="B187" t="s">
        <v>516</v>
      </c>
      <c r="C187">
        <v>2023</v>
      </c>
      <c r="D187">
        <v>7293</v>
      </c>
      <c r="E187">
        <f>IFERROR(_xlfn.XLOOKUP(B187,euro!E$2:E$91,euro!Y$2:Y$91),0)</f>
        <v>0</v>
      </c>
    </row>
    <row r="188" spans="1:5" x14ac:dyDescent="0.2">
      <c r="A188" t="s">
        <v>517</v>
      </c>
      <c r="C188">
        <v>2023</v>
      </c>
      <c r="D188">
        <v>25758966000</v>
      </c>
      <c r="E188">
        <f>IFERROR(_xlfn.XLOOKUP(B188,euro!E$2:E$91,euro!Y$2:Y$91),0)</f>
        <v>0</v>
      </c>
    </row>
    <row r="189" spans="1:5" x14ac:dyDescent="0.2">
      <c r="A189" t="s">
        <v>518</v>
      </c>
      <c r="C189">
        <v>2023</v>
      </c>
      <c r="D189">
        <v>6104680400</v>
      </c>
      <c r="E189">
        <f>IFERROR(_xlfn.XLOOKUP(B189,euro!E$2:E$91,euro!Y$2:Y$91),0)</f>
        <v>0</v>
      </c>
    </row>
    <row r="190" spans="1:5" x14ac:dyDescent="0.2">
      <c r="A190" t="s">
        <v>519</v>
      </c>
      <c r="C190">
        <v>2023</v>
      </c>
      <c r="D190">
        <v>5922801700</v>
      </c>
      <c r="E190">
        <f>IFERROR(_xlfn.XLOOKUP(B190,euro!E$2:E$91,euro!Y$2:Y$91),0)</f>
        <v>0</v>
      </c>
    </row>
    <row r="191" spans="1:5" x14ac:dyDescent="0.2">
      <c r="A191" t="s">
        <v>520</v>
      </c>
      <c r="C191">
        <v>2023</v>
      </c>
      <c r="D191">
        <v>1186273900</v>
      </c>
      <c r="E191">
        <f>IFERROR(_xlfn.XLOOKUP(B191,euro!E$2:E$91,euro!Y$2:Y$91),0)</f>
        <v>0</v>
      </c>
    </row>
    <row r="192" spans="1:5" x14ac:dyDescent="0.2">
      <c r="A192" t="s">
        <v>521</v>
      </c>
      <c r="B192" t="s">
        <v>522</v>
      </c>
      <c r="C192">
        <v>2023</v>
      </c>
      <c r="D192">
        <v>62024996</v>
      </c>
      <c r="E192">
        <f>IFERROR(_xlfn.XLOOKUP(B192,euro!E$2:E$91,euro!Y$2:Y$91),0)</f>
        <v>0</v>
      </c>
    </row>
    <row r="193" spans="1:5" x14ac:dyDescent="0.2">
      <c r="A193" t="s">
        <v>523</v>
      </c>
      <c r="B193" t="s">
        <v>524</v>
      </c>
      <c r="C193">
        <v>2023</v>
      </c>
      <c r="D193">
        <v>7338385</v>
      </c>
      <c r="E193">
        <f>IFERROR(_xlfn.XLOOKUP(B193,euro!E$2:E$91,euro!Y$2:Y$91),0)</f>
        <v>0</v>
      </c>
    </row>
    <row r="194" spans="1:5" x14ac:dyDescent="0.2">
      <c r="A194" t="s">
        <v>525</v>
      </c>
      <c r="C194">
        <v>2023</v>
      </c>
      <c r="D194">
        <v>11252323000</v>
      </c>
      <c r="E194">
        <f>IFERROR(_xlfn.XLOOKUP(B194,euro!E$2:E$91,euro!Y$2:Y$91),0)</f>
        <v>0</v>
      </c>
    </row>
    <row r="195" spans="1:5" x14ac:dyDescent="0.2">
      <c r="A195" t="s">
        <v>526</v>
      </c>
      <c r="C195">
        <v>2023</v>
      </c>
      <c r="D195">
        <v>433177120</v>
      </c>
      <c r="E195">
        <f>IFERROR(_xlfn.XLOOKUP(B195,euro!E$2:E$91,euro!Y$2:Y$91),0)</f>
        <v>0</v>
      </c>
    </row>
    <row r="196" spans="1:5" x14ac:dyDescent="0.2">
      <c r="A196" t="s">
        <v>527</v>
      </c>
      <c r="C196">
        <v>2023</v>
      </c>
      <c r="D196">
        <v>424819360</v>
      </c>
      <c r="E196">
        <f>IFERROR(_xlfn.XLOOKUP(B196,euro!E$2:E$91,euro!Y$2:Y$91),0)</f>
        <v>0</v>
      </c>
    </row>
    <row r="197" spans="1:5" x14ac:dyDescent="0.2">
      <c r="A197" t="s">
        <v>528</v>
      </c>
      <c r="B197" t="s">
        <v>529</v>
      </c>
      <c r="C197">
        <v>2023</v>
      </c>
      <c r="D197">
        <v>79810640</v>
      </c>
      <c r="E197">
        <f>IFERROR(_xlfn.XLOOKUP(B197,euro!E$2:E$91,euro!Y$2:Y$91),0)</f>
        <v>0</v>
      </c>
    </row>
    <row r="198" spans="1:5" x14ac:dyDescent="0.2">
      <c r="A198" t="s">
        <v>530</v>
      </c>
      <c r="B198" t="s">
        <v>531</v>
      </c>
      <c r="C198">
        <v>2023</v>
      </c>
      <c r="D198">
        <v>186860880</v>
      </c>
      <c r="E198">
        <f>IFERROR(_xlfn.XLOOKUP(B198,euro!E$2:E$91,euro!Y$2:Y$91),0)</f>
        <v>0</v>
      </c>
    </row>
    <row r="199" spans="1:5" x14ac:dyDescent="0.2">
      <c r="A199" t="s">
        <v>532</v>
      </c>
      <c r="B199" t="s">
        <v>533</v>
      </c>
      <c r="C199">
        <v>2023</v>
      </c>
      <c r="D199">
        <v>216209</v>
      </c>
      <c r="E199">
        <f>IFERROR(_xlfn.XLOOKUP(B199,euro!E$2:E$91,euro!Y$2:Y$91),0)</f>
        <v>0</v>
      </c>
    </row>
    <row r="200" spans="1:5" x14ac:dyDescent="0.2">
      <c r="A200" t="s">
        <v>534</v>
      </c>
      <c r="B200" t="s">
        <v>535</v>
      </c>
      <c r="C200">
        <v>2023</v>
      </c>
      <c r="D200">
        <v>4755358</v>
      </c>
      <c r="E200">
        <f>IFERROR(_xlfn.XLOOKUP(B200,euro!E$2:E$91,euro!Y$2:Y$91),0)</f>
        <v>0</v>
      </c>
    </row>
    <row r="201" spans="1:5" x14ac:dyDescent="0.2">
      <c r="A201" t="s">
        <v>536</v>
      </c>
      <c r="B201" t="s">
        <v>537</v>
      </c>
      <c r="C201">
        <v>2023</v>
      </c>
      <c r="D201">
        <v>8357750</v>
      </c>
      <c r="E201">
        <f>IFERROR(_xlfn.XLOOKUP(B201,euro!E$2:E$91,euro!Y$2:Y$91),0)</f>
        <v>0</v>
      </c>
    </row>
    <row r="202" spans="1:5" x14ac:dyDescent="0.2">
      <c r="A202" t="s">
        <v>538</v>
      </c>
      <c r="B202" t="s">
        <v>539</v>
      </c>
      <c r="C202">
        <v>2023</v>
      </c>
      <c r="D202">
        <v>119544360</v>
      </c>
      <c r="E202">
        <f>IFERROR(_xlfn.XLOOKUP(B202,euro!E$2:E$91,euro!Y$2:Y$91),0)</f>
        <v>0</v>
      </c>
    </row>
    <row r="203" spans="1:5" x14ac:dyDescent="0.2">
      <c r="A203" t="s">
        <v>540</v>
      </c>
      <c r="C203">
        <v>2023</v>
      </c>
      <c r="D203">
        <v>0</v>
      </c>
      <c r="E203">
        <f>IFERROR(_xlfn.XLOOKUP(B203,euro!E$2:E$91,euro!Y$2:Y$91),0)</f>
        <v>0</v>
      </c>
    </row>
    <row r="204" spans="1:5" x14ac:dyDescent="0.2">
      <c r="A204" t="s">
        <v>541</v>
      </c>
      <c r="B204" t="s">
        <v>542</v>
      </c>
      <c r="C204">
        <v>2023</v>
      </c>
      <c r="D204">
        <v>10970</v>
      </c>
      <c r="E204">
        <f>IFERROR(_xlfn.XLOOKUP(B204,euro!E$2:E$91,euro!Y$2:Y$91),0)</f>
        <v>0</v>
      </c>
    </row>
    <row r="205" spans="1:5" x14ac:dyDescent="0.2">
      <c r="A205" t="s">
        <v>543</v>
      </c>
      <c r="B205" t="s">
        <v>544</v>
      </c>
      <c r="C205">
        <v>2023</v>
      </c>
      <c r="D205">
        <v>250147.02</v>
      </c>
      <c r="E205">
        <f>IFERROR(_xlfn.XLOOKUP(B205,euro!E$2:E$91,euro!Y$2:Y$91),0)</f>
        <v>0</v>
      </c>
    </row>
    <row r="206" spans="1:5" x14ac:dyDescent="0.2">
      <c r="A206" t="s">
        <v>545</v>
      </c>
      <c r="B206" t="s">
        <v>546</v>
      </c>
      <c r="C206">
        <v>2023</v>
      </c>
      <c r="D206">
        <v>517045.97</v>
      </c>
      <c r="E206">
        <f>IFERROR(_xlfn.XLOOKUP(B206,euro!E$2:E$91,euro!Y$2:Y$91),0)</f>
        <v>0</v>
      </c>
    </row>
    <row r="207" spans="1:5" x14ac:dyDescent="0.2">
      <c r="A207" t="s">
        <v>547</v>
      </c>
      <c r="B207" t="s">
        <v>548</v>
      </c>
      <c r="C207">
        <v>2023</v>
      </c>
      <c r="D207">
        <v>53275</v>
      </c>
      <c r="E207">
        <f>IFERROR(_xlfn.XLOOKUP(B207,euro!E$2:E$91,euro!Y$2:Y$91),0)</f>
        <v>0</v>
      </c>
    </row>
    <row r="208" spans="1:5" x14ac:dyDescent="0.2">
      <c r="A208" t="s">
        <v>549</v>
      </c>
      <c r="B208" t="s">
        <v>550</v>
      </c>
      <c r="C208">
        <v>2023</v>
      </c>
      <c r="D208">
        <v>246199</v>
      </c>
      <c r="E208">
        <f>IFERROR(_xlfn.XLOOKUP(B208,euro!E$2:E$91,euro!Y$2:Y$91),0)</f>
        <v>0</v>
      </c>
    </row>
    <row r="209" spans="1:5" x14ac:dyDescent="0.2">
      <c r="A209" t="s">
        <v>551</v>
      </c>
      <c r="B209" t="s">
        <v>552</v>
      </c>
      <c r="C209">
        <v>2023</v>
      </c>
      <c r="D209">
        <v>234845</v>
      </c>
      <c r="E209">
        <f>IFERROR(_xlfn.XLOOKUP(B209,euro!E$2:E$91,euro!Y$2:Y$91),0)</f>
        <v>0</v>
      </c>
    </row>
    <row r="210" spans="1:5" x14ac:dyDescent="0.2">
      <c r="A210" t="s">
        <v>553</v>
      </c>
      <c r="B210" t="s">
        <v>554</v>
      </c>
      <c r="C210">
        <v>2023</v>
      </c>
      <c r="D210">
        <v>139838</v>
      </c>
      <c r="E210">
        <f>IFERROR(_xlfn.XLOOKUP(B210,euro!E$2:E$91,euro!Y$2:Y$91),0)</f>
        <v>0</v>
      </c>
    </row>
    <row r="211" spans="1:5" x14ac:dyDescent="0.2">
      <c r="A211" t="s">
        <v>555</v>
      </c>
      <c r="B211" t="s">
        <v>556</v>
      </c>
      <c r="C211">
        <v>2023</v>
      </c>
      <c r="D211">
        <v>677441900</v>
      </c>
      <c r="E211">
        <f>IFERROR(_xlfn.XLOOKUP(B211,euro!E$2:E$91,euro!Y$2:Y$91),0)</f>
        <v>0</v>
      </c>
    </row>
    <row r="212" spans="1:5" x14ac:dyDescent="0.2">
      <c r="A212" t="s">
        <v>557</v>
      </c>
      <c r="B212" t="s">
        <v>558</v>
      </c>
      <c r="C212">
        <v>2023</v>
      </c>
      <c r="D212">
        <v>14081857</v>
      </c>
      <c r="E212">
        <f>IFERROR(_xlfn.XLOOKUP(B212,euro!E$2:E$91,euro!Y$2:Y$91),0)</f>
        <v>0</v>
      </c>
    </row>
    <row r="213" spans="1:5" x14ac:dyDescent="0.2">
      <c r="A213" t="s">
        <v>559</v>
      </c>
      <c r="B213" t="s">
        <v>560</v>
      </c>
      <c r="C213">
        <v>2023</v>
      </c>
      <c r="D213">
        <v>42907320</v>
      </c>
      <c r="E213">
        <f>IFERROR(_xlfn.XLOOKUP(B213,euro!E$2:E$91,euro!Y$2:Y$91),0)</f>
        <v>0</v>
      </c>
    </row>
    <row r="214" spans="1:5" x14ac:dyDescent="0.2">
      <c r="A214" t="s">
        <v>561</v>
      </c>
      <c r="B214" t="s">
        <v>562</v>
      </c>
      <c r="C214">
        <v>2023</v>
      </c>
      <c r="D214">
        <v>641309</v>
      </c>
      <c r="E214">
        <f>IFERROR(_xlfn.XLOOKUP(B214,euro!E$2:E$91,euro!Y$2:Y$91),0)</f>
        <v>0</v>
      </c>
    </row>
    <row r="215" spans="1:5" x14ac:dyDescent="0.2">
      <c r="A215" t="s">
        <v>563</v>
      </c>
      <c r="B215" t="s">
        <v>564</v>
      </c>
      <c r="C215">
        <v>2023</v>
      </c>
      <c r="D215">
        <v>1380435</v>
      </c>
      <c r="E215">
        <f>IFERROR(_xlfn.XLOOKUP(B215,euro!E$2:E$91,euro!Y$2:Y$91),0)</f>
        <v>0</v>
      </c>
    </row>
    <row r="216" spans="1:5" x14ac:dyDescent="0.2">
      <c r="A216" t="s">
        <v>565</v>
      </c>
      <c r="B216" t="s">
        <v>566</v>
      </c>
      <c r="C216">
        <v>2023</v>
      </c>
      <c r="D216">
        <v>691095</v>
      </c>
      <c r="E216">
        <f>IFERROR(_xlfn.XLOOKUP(B216,euro!E$2:E$91,euro!Y$2:Y$91),0)</f>
        <v>0</v>
      </c>
    </row>
    <row r="217" spans="1:5" x14ac:dyDescent="0.2">
      <c r="A217" t="s">
        <v>568</v>
      </c>
      <c r="B217" t="s">
        <v>569</v>
      </c>
      <c r="C217">
        <v>2023</v>
      </c>
      <c r="D217">
        <v>281760</v>
      </c>
      <c r="E217">
        <f>IFERROR(_xlfn.XLOOKUP(B217,euro!E$2:E$91,euro!Y$2:Y$91),0)</f>
        <v>0</v>
      </c>
    </row>
    <row r="218" spans="1:5" x14ac:dyDescent="0.2">
      <c r="A218" t="s">
        <v>570</v>
      </c>
      <c r="B218" t="s">
        <v>571</v>
      </c>
      <c r="C218">
        <v>2023</v>
      </c>
      <c r="D218">
        <v>1296419</v>
      </c>
      <c r="E218">
        <f>IFERROR(_xlfn.XLOOKUP(B218,euro!E$2:E$91,euro!Y$2:Y$91),0)</f>
        <v>0</v>
      </c>
    </row>
    <row r="219" spans="1:5" x14ac:dyDescent="0.2">
      <c r="A219" t="s">
        <v>572</v>
      </c>
      <c r="C219">
        <v>2023</v>
      </c>
      <c r="D219">
        <v>1107388300</v>
      </c>
      <c r="E219">
        <f>IFERROR(_xlfn.XLOOKUP(B219,euro!E$2:E$91,euro!Y$2:Y$91),0)</f>
        <v>0</v>
      </c>
    </row>
    <row r="220" spans="1:5" x14ac:dyDescent="0.2">
      <c r="A220" t="s">
        <v>573</v>
      </c>
      <c r="C220">
        <v>2023</v>
      </c>
      <c r="D220">
        <v>1107388300</v>
      </c>
      <c r="E220">
        <f>IFERROR(_xlfn.XLOOKUP(B220,euro!E$2:E$91,euro!Y$2:Y$91),0)</f>
        <v>0</v>
      </c>
    </row>
    <row r="221" spans="1:5" x14ac:dyDescent="0.2">
      <c r="A221" t="s">
        <v>575</v>
      </c>
      <c r="B221" t="s">
        <v>576</v>
      </c>
      <c r="C221">
        <v>2023</v>
      </c>
      <c r="D221">
        <v>1666291</v>
      </c>
      <c r="E221">
        <f>IFERROR(_xlfn.XLOOKUP(B221,euro!E$2:E$91,euro!Y$2:Y$91),0)</f>
        <v>0</v>
      </c>
    </row>
    <row r="222" spans="1:5" x14ac:dyDescent="0.2">
      <c r="A222" t="s">
        <v>577</v>
      </c>
      <c r="B222" t="s">
        <v>578</v>
      </c>
      <c r="C222">
        <v>2023</v>
      </c>
      <c r="D222">
        <v>19166020</v>
      </c>
      <c r="E222">
        <f>IFERROR(_xlfn.XLOOKUP(B222,euro!E$2:E$91,euro!Y$2:Y$91),0)</f>
        <v>0</v>
      </c>
    </row>
    <row r="223" spans="1:5" x14ac:dyDescent="0.2">
      <c r="A223" t="s">
        <v>579</v>
      </c>
      <c r="B223" t="s">
        <v>580</v>
      </c>
      <c r="C223">
        <v>2023</v>
      </c>
      <c r="D223">
        <v>17715522</v>
      </c>
      <c r="E223">
        <f>IFERROR(_xlfn.XLOOKUP(B223,euro!E$2:E$91,euro!Y$2:Y$91),0)</f>
        <v>0</v>
      </c>
    </row>
    <row r="224" spans="1:5" x14ac:dyDescent="0.2">
      <c r="A224" t="s">
        <v>581</v>
      </c>
      <c r="B224" t="s">
        <v>582</v>
      </c>
      <c r="C224">
        <v>2023</v>
      </c>
      <c r="D224">
        <v>2868587</v>
      </c>
      <c r="E224">
        <f>IFERROR(_xlfn.XLOOKUP(B224,euro!E$2:E$91,euro!Y$2:Y$91),0)</f>
        <v>0</v>
      </c>
    </row>
    <row r="225" spans="1:5" x14ac:dyDescent="0.2">
      <c r="A225" t="s">
        <v>583</v>
      </c>
      <c r="B225" t="s">
        <v>584</v>
      </c>
      <c r="C225">
        <v>2023</v>
      </c>
      <c r="D225">
        <v>31673644</v>
      </c>
      <c r="E225">
        <f>IFERROR(_xlfn.XLOOKUP(B225,euro!E$2:E$91,euro!Y$2:Y$91),0)</f>
        <v>0</v>
      </c>
    </row>
    <row r="226" spans="1:5" x14ac:dyDescent="0.2">
      <c r="A226" t="s">
        <v>585</v>
      </c>
      <c r="B226" t="s">
        <v>586</v>
      </c>
      <c r="C226">
        <v>2023</v>
      </c>
      <c r="D226">
        <v>267126800</v>
      </c>
      <c r="E226">
        <f>IFERROR(_xlfn.XLOOKUP(B226,euro!E$2:E$91,euro!Y$2:Y$91),0)</f>
        <v>0</v>
      </c>
    </row>
    <row r="227" spans="1:5" x14ac:dyDescent="0.2">
      <c r="A227" t="s">
        <v>587</v>
      </c>
      <c r="B227" t="s">
        <v>588</v>
      </c>
      <c r="C227">
        <v>2023</v>
      </c>
      <c r="D227">
        <v>10264285</v>
      </c>
      <c r="E227">
        <f>IFERROR(_xlfn.XLOOKUP(B227,euro!E$2:E$91,euro!Y$2:Y$91),0)</f>
        <v>0</v>
      </c>
    </row>
    <row r="228" spans="1:5" x14ac:dyDescent="0.2">
      <c r="A228" t="s">
        <v>589</v>
      </c>
      <c r="B228" t="s">
        <v>590</v>
      </c>
      <c r="C228">
        <v>2023</v>
      </c>
      <c r="D228">
        <v>20309608</v>
      </c>
      <c r="E228">
        <f>IFERROR(_xlfn.XLOOKUP(B228,euro!E$2:E$91,euro!Y$2:Y$91),0)</f>
        <v>0</v>
      </c>
    </row>
    <row r="229" spans="1:5" x14ac:dyDescent="0.2">
      <c r="A229" t="s">
        <v>591</v>
      </c>
      <c r="B229" t="s">
        <v>592</v>
      </c>
      <c r="C229">
        <v>2023</v>
      </c>
      <c r="D229">
        <v>264733680</v>
      </c>
      <c r="E229">
        <f>IFERROR(_xlfn.XLOOKUP(B229,euro!E$2:E$91,euro!Y$2:Y$91),0)</f>
        <v>0</v>
      </c>
    </row>
    <row r="230" spans="1:5" x14ac:dyDescent="0.2">
      <c r="A230" t="s">
        <v>593</v>
      </c>
      <c r="B230" t="s">
        <v>594</v>
      </c>
      <c r="C230">
        <v>2023</v>
      </c>
      <c r="D230">
        <v>2671013</v>
      </c>
      <c r="E230">
        <f>IFERROR(_xlfn.XLOOKUP(B230,euro!E$2:E$91,euro!Y$2:Y$91),0)</f>
        <v>0</v>
      </c>
    </row>
    <row r="231" spans="1:5" x14ac:dyDescent="0.2">
      <c r="A231" t="s">
        <v>595</v>
      </c>
      <c r="B231" t="s">
        <v>596</v>
      </c>
      <c r="C231">
        <v>2023</v>
      </c>
      <c r="D231">
        <v>145868</v>
      </c>
      <c r="E231">
        <f>IFERROR(_xlfn.XLOOKUP(B231,euro!E$2:E$91,euro!Y$2:Y$91),0)</f>
        <v>0</v>
      </c>
    </row>
    <row r="232" spans="1:5" x14ac:dyDescent="0.2">
      <c r="A232" t="s">
        <v>597</v>
      </c>
      <c r="B232" t="s">
        <v>598</v>
      </c>
      <c r="C232">
        <v>2023</v>
      </c>
      <c r="D232">
        <v>35535900</v>
      </c>
      <c r="E232">
        <f>IFERROR(_xlfn.XLOOKUP(B232,euro!E$2:E$91,euro!Y$2:Y$91),0)</f>
        <v>0</v>
      </c>
    </row>
    <row r="233" spans="1:5" x14ac:dyDescent="0.2">
      <c r="A233" t="s">
        <v>599</v>
      </c>
      <c r="B233" t="s">
        <v>600</v>
      </c>
      <c r="C233">
        <v>2023</v>
      </c>
      <c r="D233">
        <v>31737824</v>
      </c>
      <c r="E233">
        <f>IFERROR(_xlfn.XLOOKUP(B233,euro!E$2:E$91,euro!Y$2:Y$91),0)</f>
        <v>0</v>
      </c>
    </row>
    <row r="234" spans="1:5" x14ac:dyDescent="0.2">
      <c r="A234" t="s">
        <v>601</v>
      </c>
      <c r="B234" t="s">
        <v>602</v>
      </c>
      <c r="C234">
        <v>2023</v>
      </c>
      <c r="D234">
        <v>95420770</v>
      </c>
      <c r="E234">
        <f>IFERROR(_xlfn.XLOOKUP(B234,euro!E$2:E$91,euro!Y$2:Y$91),0)</f>
        <v>0</v>
      </c>
    </row>
    <row r="235" spans="1:5" x14ac:dyDescent="0.2">
      <c r="A235" t="s">
        <v>603</v>
      </c>
      <c r="B235" t="s">
        <v>604</v>
      </c>
      <c r="C235">
        <v>2023</v>
      </c>
      <c r="D235">
        <v>364827</v>
      </c>
      <c r="E235">
        <f>IFERROR(_xlfn.XLOOKUP(B235,euro!E$2:E$91,euro!Y$2:Y$91),0)</f>
        <v>0</v>
      </c>
    </row>
    <row r="236" spans="1:5" x14ac:dyDescent="0.2">
      <c r="A236" t="s">
        <v>605</v>
      </c>
      <c r="B236" t="s">
        <v>606</v>
      </c>
      <c r="C236">
        <v>2023</v>
      </c>
      <c r="D236">
        <v>10940</v>
      </c>
      <c r="E236">
        <f>IFERROR(_xlfn.XLOOKUP(B236,euro!E$2:E$91,euro!Y$2:Y$91),0)</f>
        <v>0</v>
      </c>
    </row>
    <row r="237" spans="1:5" x14ac:dyDescent="0.2">
      <c r="A237" t="s">
        <v>607</v>
      </c>
      <c r="B237" t="s">
        <v>608</v>
      </c>
      <c r="C237">
        <v>2023</v>
      </c>
      <c r="D237">
        <v>139325380</v>
      </c>
      <c r="E237">
        <f>IFERROR(_xlfn.XLOOKUP(B237,euro!E$2:E$91,euro!Y$2:Y$91),0)</f>
        <v>0</v>
      </c>
    </row>
    <row r="238" spans="1:5" x14ac:dyDescent="0.2">
      <c r="A238" t="s">
        <v>609</v>
      </c>
      <c r="B238" t="s">
        <v>610</v>
      </c>
      <c r="C238">
        <v>2023</v>
      </c>
      <c r="D238">
        <v>210425100</v>
      </c>
      <c r="E238">
        <f>IFERROR(_xlfn.XLOOKUP(B238,euro!E$2:E$91,euro!Y$2:Y$91),0)</f>
        <v>0</v>
      </c>
    </row>
    <row r="239" spans="1:5" x14ac:dyDescent="0.2">
      <c r="A239" t="s">
        <v>611</v>
      </c>
      <c r="B239" t="s">
        <v>612</v>
      </c>
      <c r="C239">
        <v>2023</v>
      </c>
      <c r="D239">
        <v>4918406700</v>
      </c>
      <c r="E239">
        <f>IFERROR(_xlfn.XLOOKUP(B239,euro!E$2:E$91,euro!Y$2:Y$91),0)</f>
        <v>0</v>
      </c>
    </row>
    <row r="240" spans="1:5" x14ac:dyDescent="0.2">
      <c r="A240" t="s">
        <v>613</v>
      </c>
      <c r="C240">
        <v>2023</v>
      </c>
      <c r="D240">
        <v>18031050000</v>
      </c>
      <c r="E240">
        <f>IFERROR(_xlfn.XLOOKUP(B240,euro!E$2:E$91,euro!Y$2:Y$91),0)</f>
        <v>0</v>
      </c>
    </row>
    <row r="241" spans="1:5" x14ac:dyDescent="0.2">
      <c r="A241" t="s">
        <v>614</v>
      </c>
      <c r="B241" t="s">
        <v>615</v>
      </c>
      <c r="C241">
        <v>2023</v>
      </c>
      <c r="D241">
        <v>122872020</v>
      </c>
      <c r="E241">
        <f>IFERROR(_xlfn.XLOOKUP(B241,euro!E$2:E$91,euro!Y$2:Y$91),0)</f>
        <v>0</v>
      </c>
    </row>
    <row r="242" spans="1:5" x14ac:dyDescent="0.2">
      <c r="A242" t="s">
        <v>616</v>
      </c>
      <c r="B242" t="s">
        <v>617</v>
      </c>
      <c r="C242">
        <v>2023</v>
      </c>
      <c r="D242">
        <v>188458</v>
      </c>
      <c r="E242">
        <f>IFERROR(_xlfn.XLOOKUP(B242,euro!E$2:E$91,euro!Y$2:Y$91),0)</f>
        <v>0</v>
      </c>
    </row>
    <row r="243" spans="1:5" x14ac:dyDescent="0.2">
      <c r="A243" t="s">
        <v>618</v>
      </c>
      <c r="B243" t="s">
        <v>619</v>
      </c>
      <c r="C243">
        <v>2023</v>
      </c>
      <c r="D243">
        <v>119587760</v>
      </c>
      <c r="E243">
        <f>IFERROR(_xlfn.XLOOKUP(B243,euro!E$2:E$91,euro!Y$2:Y$91),0)</f>
        <v>0</v>
      </c>
    </row>
    <row r="244" spans="1:5" x14ac:dyDescent="0.2">
      <c r="A244" t="s">
        <v>620</v>
      </c>
      <c r="B244" t="s">
        <v>621</v>
      </c>
      <c r="C244">
        <v>2023</v>
      </c>
      <c r="D244">
        <v>347398800</v>
      </c>
      <c r="E244">
        <f>IFERROR(_xlfn.XLOOKUP(B244,euro!E$2:E$91,euro!Y$2:Y$91),0)</f>
        <v>0</v>
      </c>
    </row>
    <row r="245" spans="1:5" x14ac:dyDescent="0.2">
      <c r="A245" t="s">
        <v>622</v>
      </c>
      <c r="B245" t="s">
        <v>623</v>
      </c>
      <c r="C245">
        <v>2023</v>
      </c>
      <c r="D245">
        <v>29174</v>
      </c>
      <c r="E245">
        <f>IFERROR(_xlfn.XLOOKUP(B245,euro!E$2:E$91,euro!Y$2:Y$91),0)</f>
        <v>0</v>
      </c>
    </row>
    <row r="246" spans="1:5" x14ac:dyDescent="0.2">
      <c r="A246" t="s">
        <v>624</v>
      </c>
      <c r="B246" t="s">
        <v>625</v>
      </c>
      <c r="C246">
        <v>2023</v>
      </c>
      <c r="D246">
        <v>38094040000</v>
      </c>
      <c r="E246">
        <f>IFERROR(_xlfn.XLOOKUP(B246,euro!E$2:E$91,euro!Y$2:Y$91),0)</f>
        <v>0</v>
      </c>
    </row>
    <row r="247" spans="1:5" x14ac:dyDescent="0.2">
      <c r="A247" t="s">
        <v>626</v>
      </c>
      <c r="B247" t="s">
        <v>627</v>
      </c>
      <c r="C247">
        <v>2023</v>
      </c>
      <c r="D247">
        <v>10141169</v>
      </c>
      <c r="E247">
        <f>IFERROR(_xlfn.XLOOKUP(B247,euro!E$2:E$91,euro!Y$2:Y$91),0)</f>
        <v>0</v>
      </c>
    </row>
    <row r="248" spans="1:5" x14ac:dyDescent="0.2">
      <c r="A248" t="s">
        <v>628</v>
      </c>
      <c r="B248" t="s">
        <v>629</v>
      </c>
      <c r="C248">
        <v>2023</v>
      </c>
      <c r="D248">
        <v>13443295</v>
      </c>
      <c r="E248">
        <f>IFERROR(_xlfn.XLOOKUP(B248,euro!E$2:E$91,euro!Y$2:Y$91),0)</f>
        <v>0</v>
      </c>
    </row>
  </sheetData>
  <autoFilter ref="A1:H1" xr:uid="{13BB42FD-8F7C-5A45-87F1-4E3C763726B3}">
    <sortState xmlns:xlrd2="http://schemas.microsoft.com/office/spreadsheetml/2017/richdata2" ref="A2:H248">
      <sortCondition descending="1" ref="E1:E24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15228-CC34-E84E-AE5F-405FFAC53E29}">
  <dimension ref="A1:AK91"/>
  <sheetViews>
    <sheetView topLeftCell="P1" workbookViewId="0">
      <selection activeCell="Y1" sqref="Y1:Y1048576"/>
    </sheetView>
  </sheetViews>
  <sheetFormatPr baseColWidth="10" defaultRowHeight="16" x14ac:dyDescent="0.2"/>
  <cols>
    <col min="6" max="6" width="33.1640625" customWidth="1"/>
  </cols>
  <sheetData>
    <row r="1" spans="1:37" x14ac:dyDescent="0.2">
      <c r="A1" t="s">
        <v>283</v>
      </c>
      <c r="B1" t="s">
        <v>282</v>
      </c>
      <c r="C1" t="s">
        <v>281</v>
      </c>
      <c r="D1" t="s">
        <v>280</v>
      </c>
      <c r="E1" t="s">
        <v>279</v>
      </c>
      <c r="F1" t="s">
        <v>278</v>
      </c>
      <c r="G1" t="s">
        <v>277</v>
      </c>
      <c r="H1" t="s">
        <v>276</v>
      </c>
      <c r="I1" t="s">
        <v>275</v>
      </c>
      <c r="J1" t="s">
        <v>274</v>
      </c>
      <c r="K1" t="s">
        <v>273</v>
      </c>
      <c r="L1" t="s">
        <v>272</v>
      </c>
      <c r="M1" t="s">
        <v>271</v>
      </c>
      <c r="N1" t="s">
        <v>270</v>
      </c>
      <c r="O1" t="s">
        <v>269</v>
      </c>
      <c r="P1" t="s">
        <v>268</v>
      </c>
      <c r="Q1" t="s">
        <v>267</v>
      </c>
      <c r="R1" t="s">
        <v>266</v>
      </c>
      <c r="S1" t="s">
        <v>265</v>
      </c>
      <c r="T1" t="s">
        <v>264</v>
      </c>
      <c r="U1" t="s">
        <v>263</v>
      </c>
      <c r="V1" t="s">
        <v>262</v>
      </c>
      <c r="W1" t="s">
        <v>261</v>
      </c>
      <c r="X1" t="s">
        <v>260</v>
      </c>
      <c r="Y1" t="s">
        <v>259</v>
      </c>
      <c r="Z1" t="s">
        <v>258</v>
      </c>
      <c r="AA1" t="s">
        <v>257</v>
      </c>
      <c r="AB1" t="s">
        <v>256</v>
      </c>
      <c r="AC1" t="s">
        <v>255</v>
      </c>
      <c r="AD1" t="s">
        <v>254</v>
      </c>
      <c r="AE1" t="s">
        <v>253</v>
      </c>
      <c r="AF1" t="s">
        <v>252</v>
      </c>
      <c r="AG1" t="s">
        <v>251</v>
      </c>
      <c r="AH1" t="s">
        <v>250</v>
      </c>
      <c r="AI1" t="s">
        <v>249</v>
      </c>
      <c r="AJ1" t="s">
        <v>248</v>
      </c>
      <c r="AK1" t="s">
        <v>286</v>
      </c>
    </row>
    <row r="2" spans="1:37" x14ac:dyDescent="0.2">
      <c r="A2" t="s">
        <v>23</v>
      </c>
      <c r="B2" t="s">
        <v>22</v>
      </c>
      <c r="C2" t="s">
        <v>21</v>
      </c>
      <c r="D2" t="s">
        <v>20</v>
      </c>
      <c r="E2" t="s">
        <v>155</v>
      </c>
      <c r="F2" t="s">
        <v>154</v>
      </c>
      <c r="G2" t="s">
        <v>16</v>
      </c>
      <c r="H2" t="s">
        <v>17</v>
      </c>
      <c r="I2" t="s">
        <v>16</v>
      </c>
      <c r="J2" t="s">
        <v>15</v>
      </c>
      <c r="K2" t="s">
        <v>14</v>
      </c>
      <c r="L2" t="s">
        <v>13</v>
      </c>
      <c r="M2" t="s">
        <v>5</v>
      </c>
      <c r="N2" t="s">
        <v>4</v>
      </c>
      <c r="O2" t="s">
        <v>161</v>
      </c>
      <c r="P2" t="s">
        <v>160</v>
      </c>
      <c r="Q2" t="s">
        <v>10</v>
      </c>
      <c r="R2" t="s">
        <v>9</v>
      </c>
      <c r="S2" t="s">
        <v>8</v>
      </c>
      <c r="T2" t="s">
        <v>7</v>
      </c>
      <c r="U2" t="s">
        <v>3</v>
      </c>
      <c r="V2" t="s">
        <v>6</v>
      </c>
      <c r="W2">
        <v>2023</v>
      </c>
      <c r="Y2">
        <v>85.875618000000003</v>
      </c>
      <c r="AA2" t="s">
        <v>159</v>
      </c>
      <c r="AB2" t="s">
        <v>158</v>
      </c>
      <c r="AC2">
        <v>2023</v>
      </c>
      <c r="AE2" t="s">
        <v>3</v>
      </c>
      <c r="AF2" t="s">
        <v>2</v>
      </c>
      <c r="AG2">
        <v>0</v>
      </c>
      <c r="AH2" t="s">
        <v>1</v>
      </c>
      <c r="AI2">
        <v>2</v>
      </c>
      <c r="AJ2" t="s">
        <v>0</v>
      </c>
      <c r="AK2">
        <f>_xlfn.XLOOKUP(F2,emission!A$2:A$248,emission!D$2:D$248)</f>
        <v>56908956</v>
      </c>
    </row>
    <row r="3" spans="1:37" x14ac:dyDescent="0.2">
      <c r="A3" t="s">
        <v>23</v>
      </c>
      <c r="B3" t="s">
        <v>22</v>
      </c>
      <c r="C3" t="s">
        <v>21</v>
      </c>
      <c r="D3" t="s">
        <v>20</v>
      </c>
      <c r="E3" t="s">
        <v>153</v>
      </c>
      <c r="F3" t="s">
        <v>152</v>
      </c>
      <c r="G3" t="s">
        <v>16</v>
      </c>
      <c r="H3" t="s">
        <v>17</v>
      </c>
      <c r="I3" t="s">
        <v>16</v>
      </c>
      <c r="J3" t="s">
        <v>15</v>
      </c>
      <c r="K3" t="s">
        <v>14</v>
      </c>
      <c r="L3" t="s">
        <v>13</v>
      </c>
      <c r="M3" t="s">
        <v>5</v>
      </c>
      <c r="N3" t="s">
        <v>4</v>
      </c>
      <c r="O3" t="s">
        <v>161</v>
      </c>
      <c r="P3" t="s">
        <v>160</v>
      </c>
      <c r="Q3" t="s">
        <v>10</v>
      </c>
      <c r="R3" t="s">
        <v>9</v>
      </c>
      <c r="S3" t="s">
        <v>8</v>
      </c>
      <c r="T3" t="s">
        <v>7</v>
      </c>
      <c r="U3" t="s">
        <v>3</v>
      </c>
      <c r="V3" t="s">
        <v>6</v>
      </c>
      <c r="W3">
        <v>2023</v>
      </c>
      <c r="Y3">
        <v>82.957511999999994</v>
      </c>
      <c r="AA3" t="s">
        <v>159</v>
      </c>
      <c r="AB3" t="s">
        <v>158</v>
      </c>
      <c r="AC3">
        <v>2023</v>
      </c>
      <c r="AE3" t="s">
        <v>3</v>
      </c>
      <c r="AF3" t="s">
        <v>2</v>
      </c>
      <c r="AG3">
        <v>0</v>
      </c>
      <c r="AH3" t="s">
        <v>1</v>
      </c>
      <c r="AI3">
        <v>2</v>
      </c>
      <c r="AJ3" t="s">
        <v>0</v>
      </c>
      <c r="AK3">
        <f>_xlfn.XLOOKUP(F3,emission!A$2:A$248,emission!D$2:D$248)</f>
        <v>84703360</v>
      </c>
    </row>
    <row r="4" spans="1:37" x14ac:dyDescent="0.2">
      <c r="A4" t="s">
        <v>23</v>
      </c>
      <c r="B4" t="s">
        <v>22</v>
      </c>
      <c r="C4" t="s">
        <v>21</v>
      </c>
      <c r="D4" t="s">
        <v>20</v>
      </c>
      <c r="E4" t="s">
        <v>141</v>
      </c>
      <c r="F4" t="s">
        <v>140</v>
      </c>
      <c r="G4" t="s">
        <v>16</v>
      </c>
      <c r="H4" t="s">
        <v>17</v>
      </c>
      <c r="I4" t="s">
        <v>16</v>
      </c>
      <c r="J4" t="s">
        <v>15</v>
      </c>
      <c r="K4" t="s">
        <v>14</v>
      </c>
      <c r="L4" t="s">
        <v>13</v>
      </c>
      <c r="M4" t="s">
        <v>5</v>
      </c>
      <c r="N4" t="s">
        <v>4</v>
      </c>
      <c r="O4" t="s">
        <v>161</v>
      </c>
      <c r="P4" t="s">
        <v>160</v>
      </c>
      <c r="Q4" t="s">
        <v>10</v>
      </c>
      <c r="R4" t="s">
        <v>9</v>
      </c>
      <c r="S4" t="s">
        <v>8</v>
      </c>
      <c r="T4" t="s">
        <v>7</v>
      </c>
      <c r="U4" t="s">
        <v>3</v>
      </c>
      <c r="V4" t="s">
        <v>6</v>
      </c>
      <c r="W4">
        <v>2023</v>
      </c>
      <c r="Y4">
        <v>80.378997999999996</v>
      </c>
      <c r="AA4" t="s">
        <v>159</v>
      </c>
      <c r="AB4" t="s">
        <v>158</v>
      </c>
      <c r="AC4">
        <v>2023</v>
      </c>
      <c r="AE4" t="s">
        <v>3</v>
      </c>
      <c r="AF4" t="s">
        <v>2</v>
      </c>
      <c r="AG4">
        <v>0</v>
      </c>
      <c r="AH4" t="s">
        <v>1</v>
      </c>
      <c r="AI4">
        <v>2</v>
      </c>
      <c r="AJ4" t="s">
        <v>0</v>
      </c>
      <c r="AK4">
        <f>_xlfn.XLOOKUP(F4,emission!A$2:A$248,emission!D$2:D$248)</f>
        <v>8744257</v>
      </c>
    </row>
    <row r="5" spans="1:37" x14ac:dyDescent="0.2">
      <c r="A5" t="s">
        <v>23</v>
      </c>
      <c r="B5" t="s">
        <v>22</v>
      </c>
      <c r="C5" t="s">
        <v>21</v>
      </c>
      <c r="D5" t="s">
        <v>20</v>
      </c>
      <c r="E5" t="s">
        <v>139</v>
      </c>
      <c r="F5" t="s">
        <v>138</v>
      </c>
      <c r="G5" t="s">
        <v>16</v>
      </c>
      <c r="H5" t="s">
        <v>17</v>
      </c>
      <c r="I5" t="s">
        <v>16</v>
      </c>
      <c r="J5" t="s">
        <v>15</v>
      </c>
      <c r="K5" t="s">
        <v>14</v>
      </c>
      <c r="L5" t="s">
        <v>13</v>
      </c>
      <c r="M5" t="s">
        <v>5</v>
      </c>
      <c r="N5" t="s">
        <v>4</v>
      </c>
      <c r="O5" t="s">
        <v>161</v>
      </c>
      <c r="P5" t="s">
        <v>160</v>
      </c>
      <c r="Q5" t="s">
        <v>10</v>
      </c>
      <c r="R5" t="s">
        <v>9</v>
      </c>
      <c r="S5" t="s">
        <v>8</v>
      </c>
      <c r="T5" t="s">
        <v>7</v>
      </c>
      <c r="U5" t="s">
        <v>3</v>
      </c>
      <c r="V5" t="s">
        <v>6</v>
      </c>
      <c r="W5">
        <v>2023</v>
      </c>
      <c r="Y5">
        <v>101.84974</v>
      </c>
      <c r="AA5" t="s">
        <v>159</v>
      </c>
      <c r="AB5" t="s">
        <v>158</v>
      </c>
      <c r="AC5">
        <v>2023</v>
      </c>
      <c r="AE5" t="s">
        <v>3</v>
      </c>
      <c r="AF5" t="s">
        <v>2</v>
      </c>
      <c r="AG5">
        <v>0</v>
      </c>
      <c r="AH5" t="s">
        <v>1</v>
      </c>
      <c r="AI5">
        <v>2</v>
      </c>
      <c r="AJ5" t="s">
        <v>0</v>
      </c>
      <c r="AK5">
        <f>_xlfn.XLOOKUP(F5,emission!A$2:A$248,emission!D$2:D$248)</f>
        <v>31799000</v>
      </c>
    </row>
    <row r="6" spans="1:37" x14ac:dyDescent="0.2">
      <c r="A6" t="s">
        <v>23</v>
      </c>
      <c r="B6" t="s">
        <v>22</v>
      </c>
      <c r="C6" t="s">
        <v>21</v>
      </c>
      <c r="D6" t="s">
        <v>20</v>
      </c>
      <c r="E6" t="s">
        <v>137</v>
      </c>
      <c r="F6" t="s">
        <v>136</v>
      </c>
      <c r="G6" t="s">
        <v>16</v>
      </c>
      <c r="H6" t="s">
        <v>17</v>
      </c>
      <c r="I6" t="s">
        <v>16</v>
      </c>
      <c r="J6" t="s">
        <v>15</v>
      </c>
      <c r="K6" t="s">
        <v>14</v>
      </c>
      <c r="L6" t="s">
        <v>13</v>
      </c>
      <c r="M6" t="s">
        <v>5</v>
      </c>
      <c r="N6" t="s">
        <v>4</v>
      </c>
      <c r="O6" t="s">
        <v>161</v>
      </c>
      <c r="P6" t="s">
        <v>160</v>
      </c>
      <c r="Q6" t="s">
        <v>10</v>
      </c>
      <c r="R6" t="s">
        <v>9</v>
      </c>
      <c r="S6" t="s">
        <v>8</v>
      </c>
      <c r="T6" t="s">
        <v>7</v>
      </c>
      <c r="U6" t="s">
        <v>3</v>
      </c>
      <c r="V6" t="s">
        <v>6</v>
      </c>
      <c r="W6">
        <v>2023</v>
      </c>
      <c r="Y6">
        <v>47.142189000000002</v>
      </c>
      <c r="AA6" t="s">
        <v>159</v>
      </c>
      <c r="AB6" t="s">
        <v>158</v>
      </c>
      <c r="AC6">
        <v>2023</v>
      </c>
      <c r="AE6" t="s">
        <v>3</v>
      </c>
      <c r="AF6" t="s">
        <v>2</v>
      </c>
      <c r="AG6">
        <v>0</v>
      </c>
      <c r="AH6" t="s">
        <v>1</v>
      </c>
      <c r="AI6">
        <v>2</v>
      </c>
      <c r="AJ6" t="s">
        <v>0</v>
      </c>
      <c r="AK6">
        <f>_xlfn.XLOOKUP(F6,emission!A$2:A$248,emission!D$2:D$248)</f>
        <v>270262660</v>
      </c>
    </row>
    <row r="7" spans="1:37" x14ac:dyDescent="0.2">
      <c r="A7" t="s">
        <v>23</v>
      </c>
      <c r="B7" t="s">
        <v>22</v>
      </c>
      <c r="C7" t="s">
        <v>21</v>
      </c>
      <c r="D7" t="s">
        <v>20</v>
      </c>
      <c r="E7" t="s">
        <v>135</v>
      </c>
      <c r="F7" t="s">
        <v>134</v>
      </c>
      <c r="G7" t="s">
        <v>16</v>
      </c>
      <c r="H7" t="s">
        <v>17</v>
      </c>
      <c r="I7" t="s">
        <v>16</v>
      </c>
      <c r="J7" t="s">
        <v>15</v>
      </c>
      <c r="K7" t="s">
        <v>14</v>
      </c>
      <c r="L7" t="s">
        <v>13</v>
      </c>
      <c r="M7" t="s">
        <v>5</v>
      </c>
      <c r="N7" t="s">
        <v>4</v>
      </c>
      <c r="O7" t="s">
        <v>161</v>
      </c>
      <c r="P7" t="s">
        <v>160</v>
      </c>
      <c r="Q7" t="s">
        <v>10</v>
      </c>
      <c r="R7" t="s">
        <v>9</v>
      </c>
      <c r="S7" t="s">
        <v>8</v>
      </c>
      <c r="T7" t="s">
        <v>7</v>
      </c>
      <c r="U7" t="s">
        <v>3</v>
      </c>
      <c r="V7" t="s">
        <v>6</v>
      </c>
      <c r="W7">
        <v>2023</v>
      </c>
      <c r="Y7">
        <v>93.442047000000002</v>
      </c>
      <c r="AA7" t="s">
        <v>159</v>
      </c>
      <c r="AB7" t="s">
        <v>158</v>
      </c>
      <c r="AC7">
        <v>2023</v>
      </c>
      <c r="AE7" t="s">
        <v>3</v>
      </c>
      <c r="AF7" t="s">
        <v>2</v>
      </c>
      <c r="AG7">
        <v>0</v>
      </c>
      <c r="AH7" t="s">
        <v>1</v>
      </c>
      <c r="AI7">
        <v>2</v>
      </c>
      <c r="AJ7" t="s">
        <v>0</v>
      </c>
      <c r="AK7">
        <f>_xlfn.XLOOKUP(F7,emission!A$2:A$248,emission!D$2:D$248)</f>
        <v>593766000</v>
      </c>
    </row>
    <row r="8" spans="1:37" x14ac:dyDescent="0.2">
      <c r="A8" t="s">
        <v>23</v>
      </c>
      <c r="B8" t="s">
        <v>22</v>
      </c>
      <c r="C8" t="s">
        <v>21</v>
      </c>
      <c r="D8" t="s">
        <v>20</v>
      </c>
      <c r="E8" t="s">
        <v>133</v>
      </c>
      <c r="F8" t="s">
        <v>132</v>
      </c>
      <c r="G8" t="s">
        <v>16</v>
      </c>
      <c r="H8" t="s">
        <v>17</v>
      </c>
      <c r="I8" t="s">
        <v>16</v>
      </c>
      <c r="J8" t="s">
        <v>15</v>
      </c>
      <c r="K8" t="s">
        <v>14</v>
      </c>
      <c r="L8" t="s">
        <v>13</v>
      </c>
      <c r="M8" t="s">
        <v>5</v>
      </c>
      <c r="N8" t="s">
        <v>4</v>
      </c>
      <c r="O8" t="s">
        <v>161</v>
      </c>
      <c r="P8" t="s">
        <v>160</v>
      </c>
      <c r="Q8" t="s">
        <v>10</v>
      </c>
      <c r="R8" t="s">
        <v>9</v>
      </c>
      <c r="S8" t="s">
        <v>8</v>
      </c>
      <c r="T8" t="s">
        <v>7</v>
      </c>
      <c r="U8" t="s">
        <v>3</v>
      </c>
      <c r="V8" t="s">
        <v>6</v>
      </c>
      <c r="W8">
        <v>2023</v>
      </c>
      <c r="Y8">
        <v>76.593299999999999</v>
      </c>
      <c r="AA8" t="s">
        <v>159</v>
      </c>
      <c r="AB8" t="s">
        <v>158</v>
      </c>
      <c r="AC8">
        <v>2023</v>
      </c>
      <c r="AE8" t="s">
        <v>3</v>
      </c>
      <c r="AF8" t="s">
        <v>2</v>
      </c>
      <c r="AG8">
        <v>0</v>
      </c>
      <c r="AH8" t="s">
        <v>1</v>
      </c>
      <c r="AI8">
        <v>2</v>
      </c>
      <c r="AJ8" t="s">
        <v>0</v>
      </c>
      <c r="AK8">
        <f>_xlfn.XLOOKUP(F8,emission!A$2:A$248,emission!D$2:D$248)</f>
        <v>51988224</v>
      </c>
    </row>
    <row r="9" spans="1:37" x14ac:dyDescent="0.2">
      <c r="A9" t="s">
        <v>23</v>
      </c>
      <c r="B9" t="s">
        <v>22</v>
      </c>
      <c r="C9" t="s">
        <v>21</v>
      </c>
      <c r="D9" t="s">
        <v>20</v>
      </c>
      <c r="E9" t="s">
        <v>127</v>
      </c>
      <c r="F9" t="s">
        <v>126</v>
      </c>
      <c r="G9" t="s">
        <v>16</v>
      </c>
      <c r="H9" t="s">
        <v>17</v>
      </c>
      <c r="I9" t="s">
        <v>16</v>
      </c>
      <c r="J9" t="s">
        <v>15</v>
      </c>
      <c r="K9" t="s">
        <v>14</v>
      </c>
      <c r="L9" t="s">
        <v>13</v>
      </c>
      <c r="M9" t="s">
        <v>5</v>
      </c>
      <c r="N9" t="s">
        <v>4</v>
      </c>
      <c r="O9" t="s">
        <v>161</v>
      </c>
      <c r="P9" t="s">
        <v>160</v>
      </c>
      <c r="Q9" t="s">
        <v>10</v>
      </c>
      <c r="R9" t="s">
        <v>9</v>
      </c>
      <c r="S9" t="s">
        <v>8</v>
      </c>
      <c r="T9" t="s">
        <v>7</v>
      </c>
      <c r="U9" t="s">
        <v>3</v>
      </c>
      <c r="V9" t="s">
        <v>6</v>
      </c>
      <c r="W9">
        <v>2023</v>
      </c>
      <c r="Y9">
        <v>59.683121</v>
      </c>
      <c r="AA9" t="s">
        <v>159</v>
      </c>
      <c r="AB9" t="s">
        <v>158</v>
      </c>
      <c r="AC9">
        <v>2023</v>
      </c>
      <c r="AE9" t="s">
        <v>3</v>
      </c>
      <c r="AF9" t="s">
        <v>2</v>
      </c>
      <c r="AG9">
        <v>0</v>
      </c>
      <c r="AH9" t="s">
        <v>1</v>
      </c>
      <c r="AI9">
        <v>2</v>
      </c>
      <c r="AJ9" t="s">
        <v>0</v>
      </c>
      <c r="AK9">
        <f>_xlfn.XLOOKUP(F9,emission!A$2:A$248,emission!D$2:D$248)</f>
        <v>33567940</v>
      </c>
    </row>
    <row r="10" spans="1:37" x14ac:dyDescent="0.2">
      <c r="A10" t="s">
        <v>23</v>
      </c>
      <c r="B10" t="s">
        <v>22</v>
      </c>
      <c r="C10" t="s">
        <v>21</v>
      </c>
      <c r="D10" t="s">
        <v>20</v>
      </c>
      <c r="E10" t="s">
        <v>123</v>
      </c>
      <c r="F10" t="s">
        <v>122</v>
      </c>
      <c r="G10" t="s">
        <v>16</v>
      </c>
      <c r="H10" t="s">
        <v>17</v>
      </c>
      <c r="I10" t="s">
        <v>16</v>
      </c>
      <c r="J10" t="s">
        <v>15</v>
      </c>
      <c r="K10" t="s">
        <v>14</v>
      </c>
      <c r="L10" t="s">
        <v>13</v>
      </c>
      <c r="M10" t="s">
        <v>5</v>
      </c>
      <c r="N10" t="s">
        <v>4</v>
      </c>
      <c r="O10" t="s">
        <v>161</v>
      </c>
      <c r="P10" t="s">
        <v>160</v>
      </c>
      <c r="Q10" t="s">
        <v>10</v>
      </c>
      <c r="R10" t="s">
        <v>9</v>
      </c>
      <c r="S10" t="s">
        <v>8</v>
      </c>
      <c r="T10" t="s">
        <v>7</v>
      </c>
      <c r="U10" t="s">
        <v>3</v>
      </c>
      <c r="V10" t="s">
        <v>6</v>
      </c>
      <c r="W10">
        <v>2023</v>
      </c>
      <c r="Y10">
        <v>110.8419</v>
      </c>
      <c r="AA10" t="s">
        <v>159</v>
      </c>
      <c r="AB10" t="s">
        <v>158</v>
      </c>
      <c r="AC10">
        <v>2023</v>
      </c>
      <c r="AE10" t="s">
        <v>3</v>
      </c>
      <c r="AF10" t="s">
        <v>2</v>
      </c>
      <c r="AG10">
        <v>0</v>
      </c>
      <c r="AH10" t="s">
        <v>1</v>
      </c>
      <c r="AI10">
        <v>2</v>
      </c>
      <c r="AJ10" t="s">
        <v>0</v>
      </c>
      <c r="AK10">
        <f>_xlfn.XLOOKUP(F10,emission!A$2:A$248,emission!D$2:D$248)</f>
        <v>312290660</v>
      </c>
    </row>
    <row r="11" spans="1:37" x14ac:dyDescent="0.2">
      <c r="A11" t="s">
        <v>23</v>
      </c>
      <c r="B11" t="s">
        <v>22</v>
      </c>
      <c r="C11" t="s">
        <v>21</v>
      </c>
      <c r="D11" t="s">
        <v>20</v>
      </c>
      <c r="E11" t="s">
        <v>117</v>
      </c>
      <c r="F11" t="s">
        <v>116</v>
      </c>
      <c r="G11" t="s">
        <v>16</v>
      </c>
      <c r="H11" t="s">
        <v>17</v>
      </c>
      <c r="I11" t="s">
        <v>16</v>
      </c>
      <c r="J11" t="s">
        <v>15</v>
      </c>
      <c r="K11" t="s">
        <v>14</v>
      </c>
      <c r="L11" t="s">
        <v>13</v>
      </c>
      <c r="M11" t="s">
        <v>5</v>
      </c>
      <c r="N11" t="s">
        <v>4</v>
      </c>
      <c r="O11" t="s">
        <v>161</v>
      </c>
      <c r="P11" t="s">
        <v>160</v>
      </c>
      <c r="Q11" t="s">
        <v>10</v>
      </c>
      <c r="R11" t="s">
        <v>9</v>
      </c>
      <c r="S11" t="s">
        <v>8</v>
      </c>
      <c r="T11" t="s">
        <v>7</v>
      </c>
      <c r="U11" t="s">
        <v>3</v>
      </c>
      <c r="V11" t="s">
        <v>6</v>
      </c>
      <c r="W11">
        <v>2023</v>
      </c>
      <c r="Y11">
        <v>61.617077000000002</v>
      </c>
      <c r="AA11" t="s">
        <v>159</v>
      </c>
      <c r="AB11" t="s">
        <v>158</v>
      </c>
      <c r="AC11">
        <v>2023</v>
      </c>
      <c r="AE11" t="s">
        <v>3</v>
      </c>
      <c r="AF11" t="s">
        <v>2</v>
      </c>
      <c r="AG11">
        <v>0</v>
      </c>
      <c r="AH11" t="s">
        <v>1</v>
      </c>
      <c r="AI11">
        <v>2</v>
      </c>
      <c r="AJ11" t="s">
        <v>0</v>
      </c>
      <c r="AK11">
        <f>_xlfn.XLOOKUP(F11,emission!A$2:A$248,emission!D$2:D$248)</f>
        <v>6589883</v>
      </c>
    </row>
    <row r="12" spans="1:37" x14ac:dyDescent="0.2">
      <c r="A12" t="s">
        <v>23</v>
      </c>
      <c r="B12" t="s">
        <v>22</v>
      </c>
      <c r="C12" t="s">
        <v>21</v>
      </c>
      <c r="D12" t="s">
        <v>20</v>
      </c>
      <c r="E12" t="s">
        <v>115</v>
      </c>
      <c r="F12" t="s">
        <v>114</v>
      </c>
      <c r="G12" t="s">
        <v>16</v>
      </c>
      <c r="H12" t="s">
        <v>17</v>
      </c>
      <c r="I12" t="s">
        <v>16</v>
      </c>
      <c r="J12" t="s">
        <v>15</v>
      </c>
      <c r="K12" t="s">
        <v>14</v>
      </c>
      <c r="L12" t="s">
        <v>13</v>
      </c>
      <c r="M12" t="s">
        <v>5</v>
      </c>
      <c r="N12" t="s">
        <v>4</v>
      </c>
      <c r="O12" t="s">
        <v>161</v>
      </c>
      <c r="P12" t="s">
        <v>160</v>
      </c>
      <c r="Q12" t="s">
        <v>10</v>
      </c>
      <c r="R12" t="s">
        <v>9</v>
      </c>
      <c r="S12" t="s">
        <v>8</v>
      </c>
      <c r="T12" t="s">
        <v>7</v>
      </c>
      <c r="U12" t="s">
        <v>3</v>
      </c>
      <c r="V12" t="s">
        <v>6</v>
      </c>
      <c r="W12">
        <v>2023</v>
      </c>
      <c r="Y12">
        <v>42.414462999999998</v>
      </c>
      <c r="AA12" t="s">
        <v>159</v>
      </c>
      <c r="AB12" t="s">
        <v>158</v>
      </c>
      <c r="AC12">
        <v>2023</v>
      </c>
      <c r="AE12" t="s">
        <v>3</v>
      </c>
      <c r="AF12" t="s">
        <v>2</v>
      </c>
      <c r="AG12">
        <v>0</v>
      </c>
      <c r="AH12" t="s">
        <v>1</v>
      </c>
      <c r="AI12">
        <v>2</v>
      </c>
      <c r="AJ12" t="s">
        <v>0</v>
      </c>
      <c r="AK12">
        <f>_xlfn.XLOOKUP(F12,emission!A$2:A$248,emission!D$2:D$248)</f>
        <v>12507402</v>
      </c>
    </row>
    <row r="13" spans="1:37" x14ac:dyDescent="0.2">
      <c r="A13" t="s">
        <v>23</v>
      </c>
      <c r="B13" t="s">
        <v>22</v>
      </c>
      <c r="C13" t="s">
        <v>21</v>
      </c>
      <c r="D13" t="s">
        <v>20</v>
      </c>
      <c r="E13" t="s">
        <v>113</v>
      </c>
      <c r="F13" t="s">
        <v>112</v>
      </c>
      <c r="G13" t="s">
        <v>16</v>
      </c>
      <c r="H13" t="s">
        <v>17</v>
      </c>
      <c r="I13" t="s">
        <v>16</v>
      </c>
      <c r="J13" t="s">
        <v>15</v>
      </c>
      <c r="K13" t="s">
        <v>14</v>
      </c>
      <c r="L13" t="s">
        <v>13</v>
      </c>
      <c r="M13" t="s">
        <v>5</v>
      </c>
      <c r="N13" t="s">
        <v>4</v>
      </c>
      <c r="O13" t="s">
        <v>161</v>
      </c>
      <c r="P13" t="s">
        <v>160</v>
      </c>
      <c r="Q13" t="s">
        <v>10</v>
      </c>
      <c r="R13" t="s">
        <v>9</v>
      </c>
      <c r="S13" t="s">
        <v>8</v>
      </c>
      <c r="T13" t="s">
        <v>7</v>
      </c>
      <c r="U13" t="s">
        <v>3</v>
      </c>
      <c r="V13" t="s">
        <v>6</v>
      </c>
      <c r="W13">
        <v>2023</v>
      </c>
      <c r="Y13">
        <v>125.06547999999999</v>
      </c>
      <c r="AA13" t="s">
        <v>159</v>
      </c>
      <c r="AB13" t="s">
        <v>158</v>
      </c>
      <c r="AC13">
        <v>2023</v>
      </c>
      <c r="AE13" t="s">
        <v>3</v>
      </c>
      <c r="AF13" t="s">
        <v>2</v>
      </c>
      <c r="AG13">
        <v>0</v>
      </c>
      <c r="AH13" t="s">
        <v>1</v>
      </c>
      <c r="AI13">
        <v>2</v>
      </c>
      <c r="AJ13" t="s">
        <v>0</v>
      </c>
      <c r="AK13">
        <f>_xlfn.XLOOKUP(F13,emission!A$2:A$248,emission!D$2:D$248)</f>
        <v>6840733</v>
      </c>
    </row>
    <row r="14" spans="1:37" x14ac:dyDescent="0.2">
      <c r="A14" t="s">
        <v>23</v>
      </c>
      <c r="B14" t="s">
        <v>22</v>
      </c>
      <c r="C14" t="s">
        <v>21</v>
      </c>
      <c r="D14" t="s">
        <v>20</v>
      </c>
      <c r="E14" t="s">
        <v>109</v>
      </c>
      <c r="F14" t="s">
        <v>108</v>
      </c>
      <c r="G14" t="s">
        <v>16</v>
      </c>
      <c r="H14" t="s">
        <v>17</v>
      </c>
      <c r="I14" t="s">
        <v>16</v>
      </c>
      <c r="J14" t="s">
        <v>15</v>
      </c>
      <c r="K14" t="s">
        <v>14</v>
      </c>
      <c r="L14" t="s">
        <v>13</v>
      </c>
      <c r="M14" t="s">
        <v>5</v>
      </c>
      <c r="N14" t="s">
        <v>4</v>
      </c>
      <c r="O14" t="s">
        <v>161</v>
      </c>
      <c r="P14" t="s">
        <v>160</v>
      </c>
      <c r="Q14" t="s">
        <v>10</v>
      </c>
      <c r="R14" t="s">
        <v>9</v>
      </c>
      <c r="S14" t="s">
        <v>8</v>
      </c>
      <c r="T14" t="s">
        <v>7</v>
      </c>
      <c r="U14" t="s">
        <v>3</v>
      </c>
      <c r="V14" t="s">
        <v>6</v>
      </c>
      <c r="W14">
        <v>2023</v>
      </c>
      <c r="Y14">
        <v>110.71052</v>
      </c>
      <c r="AA14" t="s">
        <v>159</v>
      </c>
      <c r="AB14" t="s">
        <v>158</v>
      </c>
      <c r="AC14">
        <v>2023</v>
      </c>
      <c r="AE14" t="s">
        <v>3</v>
      </c>
      <c r="AF14" t="s">
        <v>2</v>
      </c>
      <c r="AG14">
        <v>0</v>
      </c>
      <c r="AH14" t="s">
        <v>1</v>
      </c>
      <c r="AI14">
        <v>2</v>
      </c>
      <c r="AJ14" t="s">
        <v>0</v>
      </c>
      <c r="AK14">
        <f>_xlfn.XLOOKUP(F14,emission!A$2:A$248,emission!D$2:D$248)</f>
        <v>117016380</v>
      </c>
    </row>
    <row r="15" spans="1:37" x14ac:dyDescent="0.2">
      <c r="A15" t="s">
        <v>23</v>
      </c>
      <c r="B15" t="s">
        <v>22</v>
      </c>
      <c r="C15" t="s">
        <v>21</v>
      </c>
      <c r="D15" t="s">
        <v>20</v>
      </c>
      <c r="E15" t="s">
        <v>101</v>
      </c>
      <c r="F15" t="s">
        <v>100</v>
      </c>
      <c r="G15" t="s">
        <v>16</v>
      </c>
      <c r="H15" t="s">
        <v>17</v>
      </c>
      <c r="I15" t="s">
        <v>16</v>
      </c>
      <c r="J15" t="s">
        <v>15</v>
      </c>
      <c r="K15" t="s">
        <v>14</v>
      </c>
      <c r="L15" t="s">
        <v>13</v>
      </c>
      <c r="M15" t="s">
        <v>5</v>
      </c>
      <c r="N15" t="s">
        <v>4</v>
      </c>
      <c r="O15" t="s">
        <v>161</v>
      </c>
      <c r="P15" t="s">
        <v>160</v>
      </c>
      <c r="Q15" t="s">
        <v>10</v>
      </c>
      <c r="R15" t="s">
        <v>9</v>
      </c>
      <c r="S15" t="s">
        <v>8</v>
      </c>
      <c r="T15" t="s">
        <v>7</v>
      </c>
      <c r="U15" t="s">
        <v>3</v>
      </c>
      <c r="V15" t="s">
        <v>6</v>
      </c>
      <c r="W15">
        <v>2023</v>
      </c>
      <c r="Y15">
        <v>87.920753000000005</v>
      </c>
      <c r="AA15" t="s">
        <v>159</v>
      </c>
      <c r="AB15" t="s">
        <v>158</v>
      </c>
      <c r="AC15">
        <v>2023</v>
      </c>
      <c r="AE15" t="s">
        <v>3</v>
      </c>
      <c r="AF15" t="s">
        <v>2</v>
      </c>
      <c r="AG15">
        <v>0</v>
      </c>
      <c r="AH15" t="s">
        <v>1</v>
      </c>
      <c r="AI15">
        <v>2</v>
      </c>
      <c r="AJ15" t="s">
        <v>0</v>
      </c>
      <c r="AK15">
        <f>_xlfn.XLOOKUP(F15,emission!A$2:A$248,emission!D$2:D$248)</f>
        <v>37622040</v>
      </c>
    </row>
    <row r="16" spans="1:37" x14ac:dyDescent="0.2">
      <c r="A16" t="s">
        <v>23</v>
      </c>
      <c r="B16" t="s">
        <v>22</v>
      </c>
      <c r="C16" t="s">
        <v>21</v>
      </c>
      <c r="D16" t="s">
        <v>20</v>
      </c>
      <c r="E16" t="s">
        <v>99</v>
      </c>
      <c r="F16" t="s">
        <v>567</v>
      </c>
      <c r="G16" t="s">
        <v>16</v>
      </c>
      <c r="H16" t="s">
        <v>17</v>
      </c>
      <c r="I16" t="s">
        <v>16</v>
      </c>
      <c r="J16" t="s">
        <v>15</v>
      </c>
      <c r="K16" t="s">
        <v>14</v>
      </c>
      <c r="L16" t="s">
        <v>13</v>
      </c>
      <c r="M16" t="s">
        <v>5</v>
      </c>
      <c r="N16" t="s">
        <v>4</v>
      </c>
      <c r="O16" t="s">
        <v>161</v>
      </c>
      <c r="P16" t="s">
        <v>160</v>
      </c>
      <c r="Q16" t="s">
        <v>10</v>
      </c>
      <c r="R16" t="s">
        <v>9</v>
      </c>
      <c r="S16" t="s">
        <v>8</v>
      </c>
      <c r="T16" t="s">
        <v>7</v>
      </c>
      <c r="U16" t="s">
        <v>3</v>
      </c>
      <c r="V16" t="s">
        <v>6</v>
      </c>
      <c r="W16">
        <v>2023</v>
      </c>
      <c r="Y16">
        <v>62.042949999999998</v>
      </c>
      <c r="AA16" t="s">
        <v>159</v>
      </c>
      <c r="AB16" t="s">
        <v>158</v>
      </c>
      <c r="AC16">
        <v>2023</v>
      </c>
      <c r="AE16" t="s">
        <v>3</v>
      </c>
      <c r="AF16" t="s">
        <v>2</v>
      </c>
      <c r="AG16">
        <v>0</v>
      </c>
      <c r="AH16" t="s">
        <v>1</v>
      </c>
      <c r="AI16">
        <v>2</v>
      </c>
      <c r="AJ16" t="s">
        <v>0</v>
      </c>
      <c r="AK16">
        <f>_xlfn.XLOOKUP(F16,emission!A$2:A$248,emission!D$2:D$248)</f>
        <v>30766244</v>
      </c>
    </row>
    <row r="17" spans="1:37" x14ac:dyDescent="0.2">
      <c r="A17" t="s">
        <v>23</v>
      </c>
      <c r="B17" t="s">
        <v>22</v>
      </c>
      <c r="C17" t="s">
        <v>21</v>
      </c>
      <c r="D17" t="s">
        <v>20</v>
      </c>
      <c r="E17" t="s">
        <v>97</v>
      </c>
      <c r="F17" t="s">
        <v>96</v>
      </c>
      <c r="G17" t="s">
        <v>16</v>
      </c>
      <c r="H17" t="s">
        <v>17</v>
      </c>
      <c r="I17" t="s">
        <v>16</v>
      </c>
      <c r="J17" t="s">
        <v>15</v>
      </c>
      <c r="K17" t="s">
        <v>14</v>
      </c>
      <c r="L17" t="s">
        <v>13</v>
      </c>
      <c r="M17" t="s">
        <v>5</v>
      </c>
      <c r="N17" t="s">
        <v>4</v>
      </c>
      <c r="O17" t="s">
        <v>161</v>
      </c>
      <c r="P17" t="s">
        <v>160</v>
      </c>
      <c r="Q17" t="s">
        <v>10</v>
      </c>
      <c r="R17" t="s">
        <v>9</v>
      </c>
      <c r="S17" t="s">
        <v>8</v>
      </c>
      <c r="T17" t="s">
        <v>7</v>
      </c>
      <c r="U17" t="s">
        <v>3</v>
      </c>
      <c r="V17" t="s">
        <v>6</v>
      </c>
      <c r="W17">
        <v>2023</v>
      </c>
      <c r="Y17">
        <v>88.713988999999998</v>
      </c>
      <c r="AA17" t="s">
        <v>159</v>
      </c>
      <c r="AB17" t="s">
        <v>158</v>
      </c>
      <c r="AC17">
        <v>2023</v>
      </c>
      <c r="AE17" t="s">
        <v>3</v>
      </c>
      <c r="AF17" t="s">
        <v>2</v>
      </c>
      <c r="AG17">
        <v>0</v>
      </c>
      <c r="AH17" t="s">
        <v>1</v>
      </c>
      <c r="AI17">
        <v>2</v>
      </c>
      <c r="AJ17" t="s">
        <v>0</v>
      </c>
      <c r="AK17">
        <f>_xlfn.XLOOKUP(F17,emission!A$2:A$248,emission!D$2:D$248)</f>
        <v>12012164</v>
      </c>
    </row>
    <row r="18" spans="1:37" x14ac:dyDescent="0.2">
      <c r="A18" t="s">
        <v>23</v>
      </c>
      <c r="B18" t="s">
        <v>22</v>
      </c>
      <c r="C18" t="s">
        <v>21</v>
      </c>
      <c r="D18" t="s">
        <v>20</v>
      </c>
      <c r="E18" t="s">
        <v>95</v>
      </c>
      <c r="F18" t="s">
        <v>94</v>
      </c>
      <c r="G18" t="s">
        <v>16</v>
      </c>
      <c r="H18" t="s">
        <v>17</v>
      </c>
      <c r="I18" t="s">
        <v>16</v>
      </c>
      <c r="J18" t="s">
        <v>15</v>
      </c>
      <c r="K18" t="s">
        <v>14</v>
      </c>
      <c r="L18" t="s">
        <v>13</v>
      </c>
      <c r="M18" t="s">
        <v>5</v>
      </c>
      <c r="N18" t="s">
        <v>4</v>
      </c>
      <c r="O18" t="s">
        <v>161</v>
      </c>
      <c r="P18" t="s">
        <v>160</v>
      </c>
      <c r="Q18" t="s">
        <v>10</v>
      </c>
      <c r="R18" t="s">
        <v>9</v>
      </c>
      <c r="S18" t="s">
        <v>8</v>
      </c>
      <c r="T18" t="s">
        <v>7</v>
      </c>
      <c r="U18" t="s">
        <v>3</v>
      </c>
      <c r="V18" t="s">
        <v>6</v>
      </c>
      <c r="W18">
        <v>2023</v>
      </c>
      <c r="Y18">
        <v>67.718468000000001</v>
      </c>
      <c r="AA18" t="s">
        <v>159</v>
      </c>
      <c r="AB18" t="s">
        <v>158</v>
      </c>
      <c r="AC18">
        <v>2023</v>
      </c>
      <c r="AE18" t="s">
        <v>3</v>
      </c>
      <c r="AF18" t="s">
        <v>2</v>
      </c>
      <c r="AG18">
        <v>0</v>
      </c>
      <c r="AH18" t="s">
        <v>1</v>
      </c>
      <c r="AI18">
        <v>2</v>
      </c>
      <c r="AJ18" t="s">
        <v>0</v>
      </c>
      <c r="AK18">
        <f>_xlfn.XLOOKUP(F18,emission!A$2:A$248,emission!D$2:D$248)</f>
        <v>215460750</v>
      </c>
    </row>
    <row r="19" spans="1:37" x14ac:dyDescent="0.2">
      <c r="A19" t="s">
        <v>23</v>
      </c>
      <c r="B19" t="s">
        <v>22</v>
      </c>
      <c r="C19" t="s">
        <v>21</v>
      </c>
      <c r="D19" t="s">
        <v>20</v>
      </c>
      <c r="E19" t="s">
        <v>73</v>
      </c>
      <c r="F19" t="s">
        <v>72</v>
      </c>
      <c r="G19" t="s">
        <v>16</v>
      </c>
      <c r="H19" t="s">
        <v>17</v>
      </c>
      <c r="I19" t="s">
        <v>16</v>
      </c>
      <c r="J19" t="s">
        <v>15</v>
      </c>
      <c r="K19" t="s">
        <v>14</v>
      </c>
      <c r="L19" t="s">
        <v>13</v>
      </c>
      <c r="M19" t="s">
        <v>5</v>
      </c>
      <c r="N19" t="s">
        <v>4</v>
      </c>
      <c r="O19" t="s">
        <v>161</v>
      </c>
      <c r="P19" t="s">
        <v>160</v>
      </c>
      <c r="Q19" t="s">
        <v>10</v>
      </c>
      <c r="R19" t="s">
        <v>9</v>
      </c>
      <c r="S19" t="s">
        <v>8</v>
      </c>
      <c r="T19" t="s">
        <v>7</v>
      </c>
      <c r="U19" t="s">
        <v>3</v>
      </c>
      <c r="V19" t="s">
        <v>6</v>
      </c>
      <c r="W19">
        <v>2023</v>
      </c>
      <c r="Y19">
        <v>69.537514000000002</v>
      </c>
      <c r="AA19" t="s">
        <v>159</v>
      </c>
      <c r="AB19" t="s">
        <v>158</v>
      </c>
      <c r="AC19">
        <v>2023</v>
      </c>
      <c r="AE19" t="s">
        <v>3</v>
      </c>
      <c r="AF19" t="s">
        <v>2</v>
      </c>
      <c r="AG19">
        <v>0</v>
      </c>
      <c r="AH19" t="s">
        <v>1</v>
      </c>
      <c r="AI19">
        <v>2</v>
      </c>
      <c r="AJ19" t="s">
        <v>0</v>
      </c>
      <c r="AK19">
        <f>_xlfn.XLOOKUP(F19,emission!A$2:A$248,emission!D$2:D$248)</f>
        <v>18467598</v>
      </c>
    </row>
    <row r="20" spans="1:37" x14ac:dyDescent="0.2">
      <c r="A20" t="s">
        <v>23</v>
      </c>
      <c r="B20" t="s">
        <v>22</v>
      </c>
      <c r="C20" t="s">
        <v>21</v>
      </c>
      <c r="D20" t="s">
        <v>20</v>
      </c>
      <c r="E20" t="s">
        <v>71</v>
      </c>
      <c r="F20" t="s">
        <v>70</v>
      </c>
      <c r="G20" t="s">
        <v>16</v>
      </c>
      <c r="H20" t="s">
        <v>17</v>
      </c>
      <c r="I20" t="s">
        <v>16</v>
      </c>
      <c r="J20" t="s">
        <v>15</v>
      </c>
      <c r="K20" t="s">
        <v>14</v>
      </c>
      <c r="L20" t="s">
        <v>13</v>
      </c>
      <c r="M20" t="s">
        <v>5</v>
      </c>
      <c r="N20" t="s">
        <v>4</v>
      </c>
      <c r="O20" t="s">
        <v>161</v>
      </c>
      <c r="P20" t="s">
        <v>160</v>
      </c>
      <c r="Q20" t="s">
        <v>10</v>
      </c>
      <c r="R20" t="s">
        <v>9</v>
      </c>
      <c r="S20" t="s">
        <v>8</v>
      </c>
      <c r="T20" t="s">
        <v>7</v>
      </c>
      <c r="U20" t="s">
        <v>3</v>
      </c>
      <c r="V20" t="s">
        <v>6</v>
      </c>
      <c r="W20">
        <v>2023</v>
      </c>
      <c r="Y20">
        <v>81.570091000000005</v>
      </c>
      <c r="AA20" t="s">
        <v>159</v>
      </c>
      <c r="AB20" t="s">
        <v>158</v>
      </c>
      <c r="AC20">
        <v>2023</v>
      </c>
      <c r="AE20" t="s">
        <v>3</v>
      </c>
      <c r="AF20" t="s">
        <v>2</v>
      </c>
      <c r="AG20">
        <v>0</v>
      </c>
      <c r="AH20" t="s">
        <v>1</v>
      </c>
      <c r="AI20">
        <v>2</v>
      </c>
      <c r="AJ20" t="s">
        <v>0</v>
      </c>
      <c r="AK20">
        <f>_xlfn.XLOOKUP(F20,emission!A$2:A$248,emission!D$2:D$248)</f>
        <v>7188089</v>
      </c>
    </row>
    <row r="21" spans="1:37" x14ac:dyDescent="0.2">
      <c r="A21" t="s">
        <v>23</v>
      </c>
      <c r="B21" t="s">
        <v>22</v>
      </c>
      <c r="C21" t="s">
        <v>21</v>
      </c>
      <c r="D21" t="s">
        <v>20</v>
      </c>
      <c r="E21" t="s">
        <v>55</v>
      </c>
      <c r="F21" t="s">
        <v>54</v>
      </c>
      <c r="G21" t="s">
        <v>16</v>
      </c>
      <c r="H21" t="s">
        <v>17</v>
      </c>
      <c r="I21" t="s">
        <v>16</v>
      </c>
      <c r="J21" t="s">
        <v>15</v>
      </c>
      <c r="K21" t="s">
        <v>14</v>
      </c>
      <c r="L21" t="s">
        <v>13</v>
      </c>
      <c r="M21" t="s">
        <v>5</v>
      </c>
      <c r="N21" t="s">
        <v>4</v>
      </c>
      <c r="O21" t="s">
        <v>161</v>
      </c>
      <c r="P21" t="s">
        <v>160</v>
      </c>
      <c r="Q21" t="s">
        <v>10</v>
      </c>
      <c r="R21" t="s">
        <v>9</v>
      </c>
      <c r="S21" t="s">
        <v>8</v>
      </c>
      <c r="T21" t="s">
        <v>7</v>
      </c>
      <c r="U21" t="s">
        <v>3</v>
      </c>
      <c r="V21" t="s">
        <v>6</v>
      </c>
      <c r="W21">
        <v>2023</v>
      </c>
      <c r="Y21">
        <v>86.295029</v>
      </c>
      <c r="AA21" t="s">
        <v>159</v>
      </c>
      <c r="AB21" t="s">
        <v>158</v>
      </c>
      <c r="AC21">
        <v>2023</v>
      </c>
      <c r="AE21" t="s">
        <v>3</v>
      </c>
      <c r="AF21" t="s">
        <v>2</v>
      </c>
      <c r="AG21">
        <v>0</v>
      </c>
      <c r="AH21" t="s">
        <v>1</v>
      </c>
      <c r="AI21">
        <v>2</v>
      </c>
      <c r="AJ21" t="s">
        <v>0</v>
      </c>
      <c r="AK21">
        <f>_xlfn.XLOOKUP(F21,emission!A$2:A$248,emission!D$2:D$248)</f>
        <v>1768002</v>
      </c>
    </row>
    <row r="22" spans="1:37" x14ac:dyDescent="0.2">
      <c r="A22" t="s">
        <v>23</v>
      </c>
      <c r="B22" t="s">
        <v>22</v>
      </c>
      <c r="C22" t="s">
        <v>21</v>
      </c>
      <c r="D22" t="s">
        <v>20</v>
      </c>
      <c r="E22" t="s">
        <v>157</v>
      </c>
      <c r="F22" t="s">
        <v>156</v>
      </c>
      <c r="G22" t="s">
        <v>16</v>
      </c>
      <c r="H22" t="s">
        <v>17</v>
      </c>
      <c r="I22" t="s">
        <v>16</v>
      </c>
      <c r="J22" t="s">
        <v>15</v>
      </c>
      <c r="K22" t="s">
        <v>14</v>
      </c>
      <c r="L22" t="s">
        <v>13</v>
      </c>
      <c r="M22" t="s">
        <v>5</v>
      </c>
      <c r="N22" t="s">
        <v>4</v>
      </c>
      <c r="O22" t="s">
        <v>12</v>
      </c>
      <c r="P22" t="s">
        <v>11</v>
      </c>
      <c r="Q22" t="s">
        <v>10</v>
      </c>
      <c r="R22" t="s">
        <v>9</v>
      </c>
      <c r="S22" t="s">
        <v>8</v>
      </c>
      <c r="T22" t="s">
        <v>7</v>
      </c>
      <c r="U22" t="s">
        <v>3</v>
      </c>
      <c r="V22" t="s">
        <v>6</v>
      </c>
      <c r="W22">
        <v>2023</v>
      </c>
      <c r="Y22">
        <v>20.383237999999999</v>
      </c>
      <c r="AA22" t="s">
        <v>5</v>
      </c>
      <c r="AB22" t="s">
        <v>4</v>
      </c>
      <c r="AC22">
        <v>2023</v>
      </c>
      <c r="AE22" t="s">
        <v>3</v>
      </c>
      <c r="AF22" t="s">
        <v>2</v>
      </c>
      <c r="AG22">
        <v>0</v>
      </c>
      <c r="AH22" t="s">
        <v>1</v>
      </c>
      <c r="AI22">
        <v>2</v>
      </c>
      <c r="AJ22" t="s">
        <v>0</v>
      </c>
      <c r="AK22">
        <f>_xlfn.XLOOKUP(F22,emission!A$2:A$248,emission!D$2:D$248)</f>
        <v>384316060</v>
      </c>
    </row>
    <row r="23" spans="1:37" x14ac:dyDescent="0.2">
      <c r="A23" t="s">
        <v>23</v>
      </c>
      <c r="B23" t="s">
        <v>22</v>
      </c>
      <c r="C23" t="s">
        <v>21</v>
      </c>
      <c r="D23" t="s">
        <v>20</v>
      </c>
      <c r="E23" t="s">
        <v>155</v>
      </c>
      <c r="F23" t="s">
        <v>154</v>
      </c>
      <c r="G23" t="s">
        <v>16</v>
      </c>
      <c r="H23" t="s">
        <v>17</v>
      </c>
      <c r="I23" t="s">
        <v>16</v>
      </c>
      <c r="J23" t="s">
        <v>15</v>
      </c>
      <c r="K23" t="s">
        <v>14</v>
      </c>
      <c r="L23" t="s">
        <v>13</v>
      </c>
      <c r="M23" t="s">
        <v>5</v>
      </c>
      <c r="N23" t="s">
        <v>4</v>
      </c>
      <c r="O23" t="s">
        <v>12</v>
      </c>
      <c r="P23" t="s">
        <v>11</v>
      </c>
      <c r="Q23" t="s">
        <v>10</v>
      </c>
      <c r="R23" t="s">
        <v>9</v>
      </c>
      <c r="S23" t="s">
        <v>8</v>
      </c>
      <c r="T23" t="s">
        <v>7</v>
      </c>
      <c r="U23" t="s">
        <v>3</v>
      </c>
      <c r="V23" t="s">
        <v>6</v>
      </c>
      <c r="W23">
        <v>2023</v>
      </c>
      <c r="Y23">
        <v>85.875618000000003</v>
      </c>
      <c r="AA23" t="s">
        <v>5</v>
      </c>
      <c r="AB23" t="s">
        <v>4</v>
      </c>
      <c r="AC23">
        <v>2023</v>
      </c>
      <c r="AE23" t="s">
        <v>3</v>
      </c>
      <c r="AF23" t="s">
        <v>2</v>
      </c>
      <c r="AG23">
        <v>0</v>
      </c>
      <c r="AH23" t="s">
        <v>1</v>
      </c>
      <c r="AI23">
        <v>2</v>
      </c>
      <c r="AJ23" t="s">
        <v>0</v>
      </c>
      <c r="AK23">
        <f>_xlfn.XLOOKUP(F23,emission!A$2:A$248,emission!D$2:D$248)</f>
        <v>56908956</v>
      </c>
    </row>
    <row r="24" spans="1:37" x14ac:dyDescent="0.2">
      <c r="A24" t="s">
        <v>23</v>
      </c>
      <c r="B24" t="s">
        <v>22</v>
      </c>
      <c r="C24" t="s">
        <v>21</v>
      </c>
      <c r="D24" t="s">
        <v>20</v>
      </c>
      <c r="E24" t="s">
        <v>153</v>
      </c>
      <c r="F24" t="s">
        <v>152</v>
      </c>
      <c r="G24" t="s">
        <v>16</v>
      </c>
      <c r="H24" t="s">
        <v>17</v>
      </c>
      <c r="I24" t="s">
        <v>16</v>
      </c>
      <c r="J24" t="s">
        <v>15</v>
      </c>
      <c r="K24" t="s">
        <v>14</v>
      </c>
      <c r="L24" t="s">
        <v>13</v>
      </c>
      <c r="M24" t="s">
        <v>5</v>
      </c>
      <c r="N24" t="s">
        <v>4</v>
      </c>
      <c r="O24" t="s">
        <v>12</v>
      </c>
      <c r="P24" t="s">
        <v>11</v>
      </c>
      <c r="Q24" t="s">
        <v>10</v>
      </c>
      <c r="R24" t="s">
        <v>9</v>
      </c>
      <c r="S24" t="s">
        <v>8</v>
      </c>
      <c r="T24" t="s">
        <v>7</v>
      </c>
      <c r="U24" t="s">
        <v>3</v>
      </c>
      <c r="V24" t="s">
        <v>6</v>
      </c>
      <c r="W24">
        <v>2023</v>
      </c>
      <c r="Y24">
        <v>82.957511999999994</v>
      </c>
      <c r="AA24" t="s">
        <v>5</v>
      </c>
      <c r="AB24" t="s">
        <v>4</v>
      </c>
      <c r="AC24">
        <v>2023</v>
      </c>
      <c r="AE24" t="s">
        <v>3</v>
      </c>
      <c r="AF24" t="s">
        <v>2</v>
      </c>
      <c r="AG24">
        <v>0</v>
      </c>
      <c r="AH24" t="s">
        <v>1</v>
      </c>
      <c r="AI24">
        <v>2</v>
      </c>
      <c r="AJ24" t="s">
        <v>0</v>
      </c>
      <c r="AK24">
        <f>_xlfn.XLOOKUP(F24,emission!A$2:A$248,emission!D$2:D$248)</f>
        <v>84703360</v>
      </c>
    </row>
    <row r="25" spans="1:37" x14ac:dyDescent="0.2">
      <c r="A25" t="s">
        <v>23</v>
      </c>
      <c r="B25" t="s">
        <v>22</v>
      </c>
      <c r="C25" t="s">
        <v>21</v>
      </c>
      <c r="D25" t="s">
        <v>20</v>
      </c>
      <c r="E25" t="s">
        <v>151</v>
      </c>
      <c r="F25" t="s">
        <v>150</v>
      </c>
      <c r="G25" t="s">
        <v>16</v>
      </c>
      <c r="H25" t="s">
        <v>17</v>
      </c>
      <c r="I25" t="s">
        <v>16</v>
      </c>
      <c r="J25" t="s">
        <v>15</v>
      </c>
      <c r="K25" t="s">
        <v>14</v>
      </c>
      <c r="L25" t="s">
        <v>13</v>
      </c>
      <c r="M25" t="s">
        <v>5</v>
      </c>
      <c r="N25" t="s">
        <v>4</v>
      </c>
      <c r="O25" t="s">
        <v>12</v>
      </c>
      <c r="P25" t="s">
        <v>11</v>
      </c>
      <c r="Q25" t="s">
        <v>10</v>
      </c>
      <c r="R25" t="s">
        <v>9</v>
      </c>
      <c r="S25" t="s">
        <v>8</v>
      </c>
      <c r="T25" t="s">
        <v>7</v>
      </c>
      <c r="U25" t="s">
        <v>3</v>
      </c>
      <c r="V25" t="s">
        <v>6</v>
      </c>
      <c r="W25">
        <v>2023</v>
      </c>
      <c r="Y25">
        <v>42.176654999999997</v>
      </c>
      <c r="AA25" t="s">
        <v>5</v>
      </c>
      <c r="AB25" t="s">
        <v>4</v>
      </c>
      <c r="AC25">
        <v>2023</v>
      </c>
      <c r="AE25" t="s">
        <v>3</v>
      </c>
      <c r="AF25" t="s">
        <v>2</v>
      </c>
      <c r="AG25">
        <v>0</v>
      </c>
      <c r="AH25" t="s">
        <v>1</v>
      </c>
      <c r="AI25">
        <v>2</v>
      </c>
      <c r="AJ25" t="s">
        <v>0</v>
      </c>
      <c r="AK25">
        <f>_xlfn.XLOOKUP(F25,emission!A$2:A$248,emission!D$2:D$248)</f>
        <v>545478500</v>
      </c>
    </row>
    <row r="26" spans="1:37" x14ac:dyDescent="0.2">
      <c r="A26" t="s">
        <v>23</v>
      </c>
      <c r="B26" t="s">
        <v>22</v>
      </c>
      <c r="C26" t="s">
        <v>21</v>
      </c>
      <c r="D26" t="s">
        <v>20</v>
      </c>
      <c r="E26" t="s">
        <v>149</v>
      </c>
      <c r="F26" t="s">
        <v>148</v>
      </c>
      <c r="G26" t="s">
        <v>16</v>
      </c>
      <c r="H26" t="s">
        <v>17</v>
      </c>
      <c r="I26" t="s">
        <v>16</v>
      </c>
      <c r="J26" t="s">
        <v>15</v>
      </c>
      <c r="K26" t="s">
        <v>14</v>
      </c>
      <c r="L26" t="s">
        <v>13</v>
      </c>
      <c r="M26" t="s">
        <v>5</v>
      </c>
      <c r="N26" t="s">
        <v>4</v>
      </c>
      <c r="O26" t="s">
        <v>12</v>
      </c>
      <c r="P26" t="s">
        <v>11</v>
      </c>
      <c r="Q26" t="s">
        <v>10</v>
      </c>
      <c r="R26" t="s">
        <v>9</v>
      </c>
      <c r="S26" t="s">
        <v>8</v>
      </c>
      <c r="T26" t="s">
        <v>7</v>
      </c>
      <c r="U26" t="s">
        <v>3</v>
      </c>
      <c r="V26" t="s">
        <v>6</v>
      </c>
      <c r="W26">
        <v>2023</v>
      </c>
      <c r="Y26">
        <v>36.768517000000003</v>
      </c>
      <c r="AA26" t="s">
        <v>5</v>
      </c>
      <c r="AB26" t="s">
        <v>4</v>
      </c>
      <c r="AC26">
        <v>2023</v>
      </c>
      <c r="AE26" t="s">
        <v>3</v>
      </c>
      <c r="AF26" t="s">
        <v>2</v>
      </c>
      <c r="AG26">
        <v>0</v>
      </c>
      <c r="AH26" t="s">
        <v>1</v>
      </c>
      <c r="AI26">
        <v>2</v>
      </c>
      <c r="AJ26" t="s">
        <v>0</v>
      </c>
      <c r="AK26">
        <f>_xlfn.XLOOKUP(F26,emission!A$2:A$248,emission!D$2:D$248)</f>
        <v>77604216</v>
      </c>
    </row>
    <row r="27" spans="1:37" x14ac:dyDescent="0.2">
      <c r="A27" t="s">
        <v>23</v>
      </c>
      <c r="B27" t="s">
        <v>22</v>
      </c>
      <c r="C27" t="s">
        <v>21</v>
      </c>
      <c r="D27" t="s">
        <v>20</v>
      </c>
      <c r="E27" t="s">
        <v>147</v>
      </c>
      <c r="F27" t="s">
        <v>146</v>
      </c>
      <c r="G27" t="s">
        <v>16</v>
      </c>
      <c r="H27" t="s">
        <v>17</v>
      </c>
      <c r="I27" t="s">
        <v>16</v>
      </c>
      <c r="J27" t="s">
        <v>15</v>
      </c>
      <c r="K27" t="s">
        <v>14</v>
      </c>
      <c r="L27" t="s">
        <v>13</v>
      </c>
      <c r="M27" t="s">
        <v>5</v>
      </c>
      <c r="N27" t="s">
        <v>4</v>
      </c>
      <c r="O27" t="s">
        <v>12</v>
      </c>
      <c r="P27" t="s">
        <v>11</v>
      </c>
      <c r="Q27" t="s">
        <v>10</v>
      </c>
      <c r="R27" t="s">
        <v>9</v>
      </c>
      <c r="S27" t="s">
        <v>8</v>
      </c>
      <c r="T27" t="s">
        <v>7</v>
      </c>
      <c r="U27" t="s">
        <v>3</v>
      </c>
      <c r="V27" t="s">
        <v>6</v>
      </c>
      <c r="W27">
        <v>2023</v>
      </c>
      <c r="Y27">
        <v>67.432190000000006</v>
      </c>
      <c r="AA27" t="s">
        <v>5</v>
      </c>
      <c r="AB27" t="s">
        <v>4</v>
      </c>
      <c r="AC27">
        <v>2023</v>
      </c>
      <c r="AE27" t="s">
        <v>3</v>
      </c>
      <c r="AF27" t="s">
        <v>2</v>
      </c>
      <c r="AG27">
        <v>0</v>
      </c>
      <c r="AH27" t="s">
        <v>1</v>
      </c>
      <c r="AI27">
        <v>2</v>
      </c>
      <c r="AJ27" t="s">
        <v>0</v>
      </c>
      <c r="AK27">
        <f>_xlfn.XLOOKUP(F27,emission!A$2:A$248,emission!D$2:D$248)</f>
        <v>8472529</v>
      </c>
    </row>
    <row r="28" spans="1:37" x14ac:dyDescent="0.2">
      <c r="A28" t="s">
        <v>23</v>
      </c>
      <c r="B28" t="s">
        <v>22</v>
      </c>
      <c r="C28" t="s">
        <v>21</v>
      </c>
      <c r="D28" t="s">
        <v>20</v>
      </c>
      <c r="E28" t="s">
        <v>145</v>
      </c>
      <c r="F28" t="s">
        <v>144</v>
      </c>
      <c r="G28" t="s">
        <v>16</v>
      </c>
      <c r="H28" t="s">
        <v>17</v>
      </c>
      <c r="I28" t="s">
        <v>16</v>
      </c>
      <c r="J28" t="s">
        <v>15</v>
      </c>
      <c r="K28" t="s">
        <v>14</v>
      </c>
      <c r="L28" t="s">
        <v>13</v>
      </c>
      <c r="M28" t="s">
        <v>5</v>
      </c>
      <c r="N28" t="s">
        <v>4</v>
      </c>
      <c r="O28" t="s">
        <v>12</v>
      </c>
      <c r="P28" t="s">
        <v>11</v>
      </c>
      <c r="Q28" t="s">
        <v>10</v>
      </c>
      <c r="R28" t="s">
        <v>9</v>
      </c>
      <c r="S28" t="s">
        <v>8</v>
      </c>
      <c r="T28" t="s">
        <v>7</v>
      </c>
      <c r="U28" t="s">
        <v>3</v>
      </c>
      <c r="V28" t="s">
        <v>6</v>
      </c>
      <c r="W28">
        <v>2023</v>
      </c>
      <c r="Y28">
        <v>68.082481000000001</v>
      </c>
      <c r="AA28" t="s">
        <v>5</v>
      </c>
      <c r="AB28" t="s">
        <v>4</v>
      </c>
      <c r="AC28">
        <v>2023</v>
      </c>
      <c r="AE28" t="s">
        <v>3</v>
      </c>
      <c r="AF28" t="s">
        <v>2</v>
      </c>
      <c r="AG28">
        <v>0</v>
      </c>
      <c r="AH28" t="s">
        <v>1</v>
      </c>
      <c r="AI28">
        <v>2</v>
      </c>
      <c r="AJ28" t="s">
        <v>0</v>
      </c>
      <c r="AK28">
        <f>_xlfn.XLOOKUP(F28,emission!A$2:A$248,emission!D$2:D$248)</f>
        <v>83232250</v>
      </c>
    </row>
    <row r="29" spans="1:37" x14ac:dyDescent="0.2">
      <c r="A29" t="s">
        <v>23</v>
      </c>
      <c r="B29" t="s">
        <v>22</v>
      </c>
      <c r="C29" t="s">
        <v>21</v>
      </c>
      <c r="D29" t="s">
        <v>20</v>
      </c>
      <c r="E29" t="s">
        <v>143</v>
      </c>
      <c r="F29" t="s">
        <v>142</v>
      </c>
      <c r="G29" t="s">
        <v>16</v>
      </c>
      <c r="H29" t="s">
        <v>17</v>
      </c>
      <c r="I29" t="s">
        <v>16</v>
      </c>
      <c r="J29" t="s">
        <v>15</v>
      </c>
      <c r="K29" t="s">
        <v>14</v>
      </c>
      <c r="L29" t="s">
        <v>13</v>
      </c>
      <c r="M29" t="s">
        <v>5</v>
      </c>
      <c r="N29" t="s">
        <v>4</v>
      </c>
      <c r="O29" t="s">
        <v>12</v>
      </c>
      <c r="P29" t="s">
        <v>11</v>
      </c>
      <c r="Q29" t="s">
        <v>10</v>
      </c>
      <c r="R29" t="s">
        <v>9</v>
      </c>
      <c r="S29" t="s">
        <v>8</v>
      </c>
      <c r="T29" t="s">
        <v>7</v>
      </c>
      <c r="U29" t="s">
        <v>3</v>
      </c>
      <c r="V29" t="s">
        <v>6</v>
      </c>
      <c r="W29">
        <v>2023</v>
      </c>
      <c r="Y29">
        <v>108.14118000000001</v>
      </c>
      <c r="AA29" t="s">
        <v>5</v>
      </c>
      <c r="AB29" t="s">
        <v>4</v>
      </c>
      <c r="AC29">
        <v>2023</v>
      </c>
      <c r="AE29" t="s">
        <v>3</v>
      </c>
      <c r="AF29" t="s">
        <v>2</v>
      </c>
      <c r="AG29">
        <v>0</v>
      </c>
      <c r="AH29" t="s">
        <v>1</v>
      </c>
      <c r="AI29">
        <v>2</v>
      </c>
      <c r="AJ29" t="s">
        <v>0</v>
      </c>
      <c r="AK29">
        <f>_xlfn.XLOOKUP(F29,emission!A$2:A$248,emission!D$2:D$248)</f>
        <v>28831184</v>
      </c>
    </row>
    <row r="30" spans="1:37" x14ac:dyDescent="0.2">
      <c r="A30" t="s">
        <v>23</v>
      </c>
      <c r="B30" t="s">
        <v>22</v>
      </c>
      <c r="C30" t="s">
        <v>21</v>
      </c>
      <c r="D30" t="s">
        <v>20</v>
      </c>
      <c r="E30" t="s">
        <v>141</v>
      </c>
      <c r="F30" t="s">
        <v>140</v>
      </c>
      <c r="G30" t="s">
        <v>16</v>
      </c>
      <c r="H30" t="s">
        <v>17</v>
      </c>
      <c r="I30" t="s">
        <v>16</v>
      </c>
      <c r="J30" t="s">
        <v>15</v>
      </c>
      <c r="K30" t="s">
        <v>14</v>
      </c>
      <c r="L30" t="s">
        <v>13</v>
      </c>
      <c r="M30" t="s">
        <v>5</v>
      </c>
      <c r="N30" t="s">
        <v>4</v>
      </c>
      <c r="O30" t="s">
        <v>12</v>
      </c>
      <c r="P30" t="s">
        <v>11</v>
      </c>
      <c r="Q30" t="s">
        <v>10</v>
      </c>
      <c r="R30" t="s">
        <v>9</v>
      </c>
      <c r="S30" t="s">
        <v>8</v>
      </c>
      <c r="T30" t="s">
        <v>7</v>
      </c>
      <c r="U30" t="s">
        <v>3</v>
      </c>
      <c r="V30" t="s">
        <v>6</v>
      </c>
      <c r="W30">
        <v>2023</v>
      </c>
      <c r="Y30">
        <v>80.378997999999996</v>
      </c>
      <c r="AA30" t="s">
        <v>5</v>
      </c>
      <c r="AB30" t="s">
        <v>4</v>
      </c>
      <c r="AC30">
        <v>2023</v>
      </c>
      <c r="AE30" t="s">
        <v>3</v>
      </c>
      <c r="AF30" t="s">
        <v>2</v>
      </c>
      <c r="AG30">
        <v>0</v>
      </c>
      <c r="AH30" t="s">
        <v>1</v>
      </c>
      <c r="AI30">
        <v>2</v>
      </c>
      <c r="AJ30" t="s">
        <v>0</v>
      </c>
      <c r="AK30">
        <f>_xlfn.XLOOKUP(F30,emission!A$2:A$248,emission!D$2:D$248)</f>
        <v>8744257</v>
      </c>
    </row>
    <row r="31" spans="1:37" x14ac:dyDescent="0.2">
      <c r="A31" t="s">
        <v>23</v>
      </c>
      <c r="B31" t="s">
        <v>22</v>
      </c>
      <c r="C31" t="s">
        <v>21</v>
      </c>
      <c r="D31" t="s">
        <v>20</v>
      </c>
      <c r="E31" t="s">
        <v>139</v>
      </c>
      <c r="F31" t="s">
        <v>138</v>
      </c>
      <c r="G31" t="s">
        <v>16</v>
      </c>
      <c r="H31" t="s">
        <v>17</v>
      </c>
      <c r="I31" t="s">
        <v>16</v>
      </c>
      <c r="J31" t="s">
        <v>15</v>
      </c>
      <c r="K31" t="s">
        <v>14</v>
      </c>
      <c r="L31" t="s">
        <v>13</v>
      </c>
      <c r="M31" t="s">
        <v>5</v>
      </c>
      <c r="N31" t="s">
        <v>4</v>
      </c>
      <c r="O31" t="s">
        <v>12</v>
      </c>
      <c r="P31" t="s">
        <v>11</v>
      </c>
      <c r="Q31" t="s">
        <v>10</v>
      </c>
      <c r="R31" t="s">
        <v>9</v>
      </c>
      <c r="S31" t="s">
        <v>8</v>
      </c>
      <c r="T31" t="s">
        <v>7</v>
      </c>
      <c r="U31" t="s">
        <v>3</v>
      </c>
      <c r="V31" t="s">
        <v>6</v>
      </c>
      <c r="W31">
        <v>2023</v>
      </c>
      <c r="Y31">
        <v>101.84974</v>
      </c>
      <c r="AA31" t="s">
        <v>5</v>
      </c>
      <c r="AB31" t="s">
        <v>4</v>
      </c>
      <c r="AC31">
        <v>2023</v>
      </c>
      <c r="AE31" t="s">
        <v>3</v>
      </c>
      <c r="AF31" t="s">
        <v>2</v>
      </c>
      <c r="AG31">
        <v>0</v>
      </c>
      <c r="AH31" t="s">
        <v>1</v>
      </c>
      <c r="AI31">
        <v>2</v>
      </c>
      <c r="AJ31" t="s">
        <v>0</v>
      </c>
      <c r="AK31">
        <f>_xlfn.XLOOKUP(F31,emission!A$2:A$248,emission!D$2:D$248)</f>
        <v>31799000</v>
      </c>
    </row>
    <row r="32" spans="1:37" x14ac:dyDescent="0.2">
      <c r="A32" t="s">
        <v>23</v>
      </c>
      <c r="B32" t="s">
        <v>22</v>
      </c>
      <c r="C32" t="s">
        <v>21</v>
      </c>
      <c r="D32" t="s">
        <v>20</v>
      </c>
      <c r="E32" t="s">
        <v>137</v>
      </c>
      <c r="F32" t="s">
        <v>136</v>
      </c>
      <c r="G32" t="s">
        <v>16</v>
      </c>
      <c r="H32" t="s">
        <v>17</v>
      </c>
      <c r="I32" t="s">
        <v>16</v>
      </c>
      <c r="J32" t="s">
        <v>15</v>
      </c>
      <c r="K32" t="s">
        <v>14</v>
      </c>
      <c r="L32" t="s">
        <v>13</v>
      </c>
      <c r="M32" t="s">
        <v>5</v>
      </c>
      <c r="N32" t="s">
        <v>4</v>
      </c>
      <c r="O32" t="s">
        <v>12</v>
      </c>
      <c r="P32" t="s">
        <v>11</v>
      </c>
      <c r="Q32" t="s">
        <v>10</v>
      </c>
      <c r="R32" t="s">
        <v>9</v>
      </c>
      <c r="S32" t="s">
        <v>8</v>
      </c>
      <c r="T32" t="s">
        <v>7</v>
      </c>
      <c r="U32" t="s">
        <v>3</v>
      </c>
      <c r="V32" t="s">
        <v>6</v>
      </c>
      <c r="W32">
        <v>2023</v>
      </c>
      <c r="Y32">
        <v>47.142189000000002</v>
      </c>
      <c r="AA32" t="s">
        <v>5</v>
      </c>
      <c r="AB32" t="s">
        <v>4</v>
      </c>
      <c r="AC32">
        <v>2023</v>
      </c>
      <c r="AE32" t="s">
        <v>3</v>
      </c>
      <c r="AF32" t="s">
        <v>2</v>
      </c>
      <c r="AG32">
        <v>0</v>
      </c>
      <c r="AH32" t="s">
        <v>1</v>
      </c>
      <c r="AI32">
        <v>2</v>
      </c>
      <c r="AJ32" t="s">
        <v>0</v>
      </c>
      <c r="AK32">
        <f>_xlfn.XLOOKUP(F32,emission!A$2:A$248,emission!D$2:D$248)</f>
        <v>270262660</v>
      </c>
    </row>
    <row r="33" spans="1:37" x14ac:dyDescent="0.2">
      <c r="A33" t="s">
        <v>23</v>
      </c>
      <c r="B33" t="s">
        <v>22</v>
      </c>
      <c r="C33" t="s">
        <v>21</v>
      </c>
      <c r="D33" t="s">
        <v>20</v>
      </c>
      <c r="E33" t="s">
        <v>135</v>
      </c>
      <c r="F33" t="s">
        <v>134</v>
      </c>
      <c r="G33" t="s">
        <v>16</v>
      </c>
      <c r="H33" t="s">
        <v>17</v>
      </c>
      <c r="I33" t="s">
        <v>16</v>
      </c>
      <c r="J33" t="s">
        <v>15</v>
      </c>
      <c r="K33" t="s">
        <v>14</v>
      </c>
      <c r="L33" t="s">
        <v>13</v>
      </c>
      <c r="M33" t="s">
        <v>5</v>
      </c>
      <c r="N33" t="s">
        <v>4</v>
      </c>
      <c r="O33" t="s">
        <v>12</v>
      </c>
      <c r="P33" t="s">
        <v>11</v>
      </c>
      <c r="Q33" t="s">
        <v>10</v>
      </c>
      <c r="R33" t="s">
        <v>9</v>
      </c>
      <c r="S33" t="s">
        <v>8</v>
      </c>
      <c r="T33" t="s">
        <v>7</v>
      </c>
      <c r="U33" t="s">
        <v>3</v>
      </c>
      <c r="V33" t="s">
        <v>6</v>
      </c>
      <c r="W33">
        <v>2023</v>
      </c>
      <c r="Y33">
        <v>93.442047000000002</v>
      </c>
      <c r="AA33" t="s">
        <v>5</v>
      </c>
      <c r="AB33" t="s">
        <v>4</v>
      </c>
      <c r="AC33">
        <v>2023</v>
      </c>
      <c r="AE33" t="s">
        <v>3</v>
      </c>
      <c r="AF33" t="s">
        <v>2</v>
      </c>
      <c r="AG33">
        <v>0</v>
      </c>
      <c r="AH33" t="s">
        <v>1</v>
      </c>
      <c r="AI33">
        <v>2</v>
      </c>
      <c r="AJ33" t="s">
        <v>0</v>
      </c>
      <c r="AK33">
        <f>_xlfn.XLOOKUP(F33,emission!A$2:A$248,emission!D$2:D$248)</f>
        <v>593766000</v>
      </c>
    </row>
    <row r="34" spans="1:37" x14ac:dyDescent="0.2">
      <c r="A34" t="s">
        <v>23</v>
      </c>
      <c r="B34" t="s">
        <v>22</v>
      </c>
      <c r="C34" t="s">
        <v>21</v>
      </c>
      <c r="D34" t="s">
        <v>20</v>
      </c>
      <c r="E34" t="s">
        <v>133</v>
      </c>
      <c r="F34" t="s">
        <v>132</v>
      </c>
      <c r="G34" t="s">
        <v>16</v>
      </c>
      <c r="H34" t="s">
        <v>17</v>
      </c>
      <c r="I34" t="s">
        <v>16</v>
      </c>
      <c r="J34" t="s">
        <v>15</v>
      </c>
      <c r="K34" t="s">
        <v>14</v>
      </c>
      <c r="L34" t="s">
        <v>13</v>
      </c>
      <c r="M34" t="s">
        <v>5</v>
      </c>
      <c r="N34" t="s">
        <v>4</v>
      </c>
      <c r="O34" t="s">
        <v>12</v>
      </c>
      <c r="P34" t="s">
        <v>11</v>
      </c>
      <c r="Q34" t="s">
        <v>10</v>
      </c>
      <c r="R34" t="s">
        <v>9</v>
      </c>
      <c r="S34" t="s">
        <v>8</v>
      </c>
      <c r="T34" t="s">
        <v>7</v>
      </c>
      <c r="U34" t="s">
        <v>3</v>
      </c>
      <c r="V34" t="s">
        <v>6</v>
      </c>
      <c r="W34">
        <v>2023</v>
      </c>
      <c r="Y34">
        <v>76.593299999999999</v>
      </c>
      <c r="AA34" t="s">
        <v>5</v>
      </c>
      <c r="AB34" t="s">
        <v>4</v>
      </c>
      <c r="AC34">
        <v>2023</v>
      </c>
      <c r="AE34" t="s">
        <v>3</v>
      </c>
      <c r="AF34" t="s">
        <v>2</v>
      </c>
      <c r="AG34">
        <v>0</v>
      </c>
      <c r="AH34" t="s">
        <v>1</v>
      </c>
      <c r="AI34">
        <v>2</v>
      </c>
      <c r="AJ34" t="s">
        <v>0</v>
      </c>
      <c r="AK34">
        <f>_xlfn.XLOOKUP(F34,emission!A$2:A$248,emission!D$2:D$248)</f>
        <v>51988224</v>
      </c>
    </row>
    <row r="35" spans="1:37" x14ac:dyDescent="0.2">
      <c r="A35" t="s">
        <v>23</v>
      </c>
      <c r="B35" t="s">
        <v>22</v>
      </c>
      <c r="C35" t="s">
        <v>21</v>
      </c>
      <c r="D35" t="s">
        <v>20</v>
      </c>
      <c r="E35" t="s">
        <v>131</v>
      </c>
      <c r="F35" t="s">
        <v>130</v>
      </c>
      <c r="G35" t="s">
        <v>16</v>
      </c>
      <c r="H35" t="s">
        <v>17</v>
      </c>
      <c r="I35" t="s">
        <v>16</v>
      </c>
      <c r="J35" t="s">
        <v>15</v>
      </c>
      <c r="K35" t="s">
        <v>14</v>
      </c>
      <c r="L35" t="s">
        <v>13</v>
      </c>
      <c r="M35" t="s">
        <v>5</v>
      </c>
      <c r="N35" t="s">
        <v>4</v>
      </c>
      <c r="O35" t="s">
        <v>12</v>
      </c>
      <c r="P35" t="s">
        <v>11</v>
      </c>
      <c r="Q35" t="s">
        <v>10</v>
      </c>
      <c r="R35" t="s">
        <v>9</v>
      </c>
      <c r="S35" t="s">
        <v>8</v>
      </c>
      <c r="T35" t="s">
        <v>7</v>
      </c>
      <c r="U35" t="s">
        <v>3</v>
      </c>
      <c r="V35" t="s">
        <v>6</v>
      </c>
      <c r="W35">
        <v>2023</v>
      </c>
      <c r="Y35">
        <v>55.361725</v>
      </c>
      <c r="AA35" t="s">
        <v>5</v>
      </c>
      <c r="AB35" t="s">
        <v>4</v>
      </c>
      <c r="AC35">
        <v>2023</v>
      </c>
      <c r="AE35" t="s">
        <v>3</v>
      </c>
      <c r="AF35" t="s">
        <v>2</v>
      </c>
      <c r="AG35">
        <v>0</v>
      </c>
      <c r="AH35" t="s">
        <v>1</v>
      </c>
      <c r="AI35">
        <v>2</v>
      </c>
      <c r="AJ35" t="s">
        <v>0</v>
      </c>
      <c r="AK35">
        <f>_xlfn.XLOOKUP(F35,emission!A$2:A$248,emission!D$2:D$248)</f>
        <v>40343864</v>
      </c>
    </row>
    <row r="36" spans="1:37" x14ac:dyDescent="0.2">
      <c r="A36" t="s">
        <v>23</v>
      </c>
      <c r="B36" t="s">
        <v>22</v>
      </c>
      <c r="C36" t="s">
        <v>21</v>
      </c>
      <c r="D36" t="s">
        <v>20</v>
      </c>
      <c r="E36" t="s">
        <v>129</v>
      </c>
      <c r="F36" t="s">
        <v>128</v>
      </c>
      <c r="G36" t="s">
        <v>16</v>
      </c>
      <c r="H36" t="s">
        <v>17</v>
      </c>
      <c r="I36" t="s">
        <v>16</v>
      </c>
      <c r="J36" t="s">
        <v>15</v>
      </c>
      <c r="K36" t="s">
        <v>14</v>
      </c>
      <c r="L36" t="s">
        <v>13</v>
      </c>
      <c r="M36" t="s">
        <v>5</v>
      </c>
      <c r="N36" t="s">
        <v>4</v>
      </c>
      <c r="O36" t="s">
        <v>12</v>
      </c>
      <c r="P36" t="s">
        <v>11</v>
      </c>
      <c r="Q36" t="s">
        <v>10</v>
      </c>
      <c r="R36" t="s">
        <v>9</v>
      </c>
      <c r="S36" t="s">
        <v>8</v>
      </c>
      <c r="T36" t="s">
        <v>7</v>
      </c>
      <c r="U36" t="s">
        <v>3</v>
      </c>
      <c r="V36" t="s">
        <v>6</v>
      </c>
      <c r="W36">
        <v>2023</v>
      </c>
      <c r="Y36">
        <v>96.711326999999997</v>
      </c>
      <c r="AA36" t="s">
        <v>5</v>
      </c>
      <c r="AB36" t="s">
        <v>4</v>
      </c>
      <c r="AC36">
        <v>2023</v>
      </c>
      <c r="AE36" t="s">
        <v>3</v>
      </c>
      <c r="AF36" t="s">
        <v>2</v>
      </c>
      <c r="AG36">
        <v>0</v>
      </c>
      <c r="AH36" t="s">
        <v>1</v>
      </c>
      <c r="AI36">
        <v>2</v>
      </c>
      <c r="AJ36" t="s">
        <v>0</v>
      </c>
      <c r="AK36">
        <f>_xlfn.XLOOKUP(F36,emission!A$2:A$248,emission!D$2:D$248)</f>
        <v>3508235</v>
      </c>
    </row>
    <row r="37" spans="1:37" x14ac:dyDescent="0.2">
      <c r="A37" t="s">
        <v>23</v>
      </c>
      <c r="B37" t="s">
        <v>22</v>
      </c>
      <c r="C37" t="s">
        <v>21</v>
      </c>
      <c r="D37" t="s">
        <v>20</v>
      </c>
      <c r="E37" t="s">
        <v>127</v>
      </c>
      <c r="F37" t="s">
        <v>126</v>
      </c>
      <c r="G37" t="s">
        <v>16</v>
      </c>
      <c r="H37" t="s">
        <v>17</v>
      </c>
      <c r="I37" t="s">
        <v>16</v>
      </c>
      <c r="J37" t="s">
        <v>15</v>
      </c>
      <c r="K37" t="s">
        <v>14</v>
      </c>
      <c r="L37" t="s">
        <v>13</v>
      </c>
      <c r="M37" t="s">
        <v>5</v>
      </c>
      <c r="N37" t="s">
        <v>4</v>
      </c>
      <c r="O37" t="s">
        <v>12</v>
      </c>
      <c r="P37" t="s">
        <v>11</v>
      </c>
      <c r="Q37" t="s">
        <v>10</v>
      </c>
      <c r="R37" t="s">
        <v>9</v>
      </c>
      <c r="S37" t="s">
        <v>8</v>
      </c>
      <c r="T37" t="s">
        <v>7</v>
      </c>
      <c r="U37" t="s">
        <v>3</v>
      </c>
      <c r="V37" t="s">
        <v>6</v>
      </c>
      <c r="W37">
        <v>2023</v>
      </c>
      <c r="Y37">
        <v>59.683121</v>
      </c>
      <c r="AA37" t="s">
        <v>5</v>
      </c>
      <c r="AB37" t="s">
        <v>4</v>
      </c>
      <c r="AC37">
        <v>2023</v>
      </c>
      <c r="AE37" t="s">
        <v>3</v>
      </c>
      <c r="AF37" t="s">
        <v>2</v>
      </c>
      <c r="AG37">
        <v>0</v>
      </c>
      <c r="AH37" t="s">
        <v>1</v>
      </c>
      <c r="AI37">
        <v>2</v>
      </c>
      <c r="AJ37" t="s">
        <v>0</v>
      </c>
      <c r="AK37">
        <f>_xlfn.XLOOKUP(F37,emission!A$2:A$248,emission!D$2:D$248)</f>
        <v>33567940</v>
      </c>
    </row>
    <row r="38" spans="1:37" x14ac:dyDescent="0.2">
      <c r="A38" t="s">
        <v>23</v>
      </c>
      <c r="B38" t="s">
        <v>22</v>
      </c>
      <c r="C38" t="s">
        <v>21</v>
      </c>
      <c r="D38" t="s">
        <v>20</v>
      </c>
      <c r="E38" t="s">
        <v>125</v>
      </c>
      <c r="F38" t="s">
        <v>124</v>
      </c>
      <c r="G38" t="s">
        <v>16</v>
      </c>
      <c r="H38" t="s">
        <v>17</v>
      </c>
      <c r="I38" t="s">
        <v>16</v>
      </c>
      <c r="J38" t="s">
        <v>15</v>
      </c>
      <c r="K38" t="s">
        <v>14</v>
      </c>
      <c r="L38" t="s">
        <v>13</v>
      </c>
      <c r="M38" t="s">
        <v>5</v>
      </c>
      <c r="N38" t="s">
        <v>4</v>
      </c>
      <c r="O38" t="s">
        <v>12</v>
      </c>
      <c r="P38" t="s">
        <v>11</v>
      </c>
      <c r="Q38" t="s">
        <v>10</v>
      </c>
      <c r="R38" t="s">
        <v>9</v>
      </c>
      <c r="S38" t="s">
        <v>8</v>
      </c>
      <c r="T38" t="s">
        <v>7</v>
      </c>
      <c r="U38" t="s">
        <v>3</v>
      </c>
      <c r="V38" t="s">
        <v>6</v>
      </c>
      <c r="W38">
        <v>2023</v>
      </c>
      <c r="Y38">
        <v>71.327499000000003</v>
      </c>
      <c r="AA38" t="s">
        <v>5</v>
      </c>
      <c r="AB38" t="s">
        <v>4</v>
      </c>
      <c r="AC38">
        <v>2023</v>
      </c>
      <c r="AE38" t="s">
        <v>3</v>
      </c>
      <c r="AF38" t="s">
        <v>2</v>
      </c>
      <c r="AG38">
        <v>0</v>
      </c>
      <c r="AH38" t="s">
        <v>1</v>
      </c>
      <c r="AI38">
        <v>2</v>
      </c>
      <c r="AJ38" t="s">
        <v>0</v>
      </c>
      <c r="AK38">
        <f>_xlfn.XLOOKUP(F38,emission!A$2:A$248,emission!D$2:D$248)</f>
        <v>55381996</v>
      </c>
    </row>
    <row r="39" spans="1:37" x14ac:dyDescent="0.2">
      <c r="A39" t="s">
        <v>23</v>
      </c>
      <c r="B39" t="s">
        <v>22</v>
      </c>
      <c r="C39" t="s">
        <v>21</v>
      </c>
      <c r="D39" t="s">
        <v>20</v>
      </c>
      <c r="E39" t="s">
        <v>123</v>
      </c>
      <c r="F39" t="s">
        <v>122</v>
      </c>
      <c r="G39" t="s">
        <v>16</v>
      </c>
      <c r="H39" t="s">
        <v>17</v>
      </c>
      <c r="I39" t="s">
        <v>16</v>
      </c>
      <c r="J39" t="s">
        <v>15</v>
      </c>
      <c r="K39" t="s">
        <v>14</v>
      </c>
      <c r="L39" t="s">
        <v>13</v>
      </c>
      <c r="M39" t="s">
        <v>5</v>
      </c>
      <c r="N39" t="s">
        <v>4</v>
      </c>
      <c r="O39" t="s">
        <v>12</v>
      </c>
      <c r="P39" t="s">
        <v>11</v>
      </c>
      <c r="Q39" t="s">
        <v>10</v>
      </c>
      <c r="R39" t="s">
        <v>9</v>
      </c>
      <c r="S39" t="s">
        <v>8</v>
      </c>
      <c r="T39" t="s">
        <v>7</v>
      </c>
      <c r="U39" t="s">
        <v>3</v>
      </c>
      <c r="V39" t="s">
        <v>6</v>
      </c>
      <c r="W39">
        <v>2023</v>
      </c>
      <c r="Y39">
        <v>110.8419</v>
      </c>
      <c r="AA39" t="s">
        <v>5</v>
      </c>
      <c r="AB39" t="s">
        <v>4</v>
      </c>
      <c r="AC39">
        <v>2023</v>
      </c>
      <c r="AE39" t="s">
        <v>3</v>
      </c>
      <c r="AF39" t="s">
        <v>2</v>
      </c>
      <c r="AG39">
        <v>0</v>
      </c>
      <c r="AH39" t="s">
        <v>1</v>
      </c>
      <c r="AI39">
        <v>2</v>
      </c>
      <c r="AJ39" t="s">
        <v>0</v>
      </c>
      <c r="AK39">
        <f>_xlfn.XLOOKUP(F39,emission!A$2:A$248,emission!D$2:D$248)</f>
        <v>312290660</v>
      </c>
    </row>
    <row r="40" spans="1:37" x14ac:dyDescent="0.2">
      <c r="A40" t="s">
        <v>23</v>
      </c>
      <c r="B40" t="s">
        <v>22</v>
      </c>
      <c r="C40" t="s">
        <v>21</v>
      </c>
      <c r="D40" t="s">
        <v>20</v>
      </c>
      <c r="E40" t="s">
        <v>121</v>
      </c>
      <c r="F40" t="s">
        <v>120</v>
      </c>
      <c r="G40" t="s">
        <v>16</v>
      </c>
      <c r="H40" t="s">
        <v>17</v>
      </c>
      <c r="I40" t="s">
        <v>16</v>
      </c>
      <c r="J40" t="s">
        <v>15</v>
      </c>
      <c r="K40" t="s">
        <v>14</v>
      </c>
      <c r="L40" t="s">
        <v>13</v>
      </c>
      <c r="M40" t="s">
        <v>5</v>
      </c>
      <c r="N40" t="s">
        <v>4</v>
      </c>
      <c r="O40" t="s">
        <v>12</v>
      </c>
      <c r="P40" t="s">
        <v>11</v>
      </c>
      <c r="Q40" t="s">
        <v>10</v>
      </c>
      <c r="R40" t="s">
        <v>9</v>
      </c>
      <c r="S40" t="s">
        <v>8</v>
      </c>
      <c r="T40" t="s">
        <v>7</v>
      </c>
      <c r="U40" t="s">
        <v>3</v>
      </c>
      <c r="V40" t="s">
        <v>6</v>
      </c>
      <c r="W40">
        <v>2023</v>
      </c>
      <c r="Y40">
        <v>5.7487206000000004</v>
      </c>
      <c r="AA40" t="s">
        <v>5</v>
      </c>
      <c r="AB40" t="s">
        <v>4</v>
      </c>
      <c r="AC40">
        <v>2023</v>
      </c>
      <c r="AE40" t="s">
        <v>3</v>
      </c>
      <c r="AF40" t="s">
        <v>2</v>
      </c>
      <c r="AG40">
        <v>0</v>
      </c>
      <c r="AH40" t="s">
        <v>1</v>
      </c>
      <c r="AI40">
        <v>2</v>
      </c>
      <c r="AJ40" t="s">
        <v>0</v>
      </c>
      <c r="AK40">
        <f>_xlfn.XLOOKUP(F40,emission!A$2:A$248,emission!D$2:D$248)</f>
        <v>986910140</v>
      </c>
    </row>
    <row r="41" spans="1:37" x14ac:dyDescent="0.2">
      <c r="A41" t="s">
        <v>23</v>
      </c>
      <c r="B41" t="s">
        <v>22</v>
      </c>
      <c r="C41" t="s">
        <v>21</v>
      </c>
      <c r="D41" t="s">
        <v>20</v>
      </c>
      <c r="E41" t="s">
        <v>119</v>
      </c>
      <c r="F41" t="s">
        <v>574</v>
      </c>
      <c r="G41" t="s">
        <v>16</v>
      </c>
      <c r="H41" t="s">
        <v>17</v>
      </c>
      <c r="I41" t="s">
        <v>16</v>
      </c>
      <c r="J41" t="s">
        <v>15</v>
      </c>
      <c r="K41" t="s">
        <v>14</v>
      </c>
      <c r="L41" t="s">
        <v>13</v>
      </c>
      <c r="M41" t="s">
        <v>5</v>
      </c>
      <c r="N41" t="s">
        <v>4</v>
      </c>
      <c r="O41" t="s">
        <v>12</v>
      </c>
      <c r="P41" t="s">
        <v>11</v>
      </c>
      <c r="Q41" t="s">
        <v>10</v>
      </c>
      <c r="R41" t="s">
        <v>9</v>
      </c>
      <c r="S41" t="s">
        <v>8</v>
      </c>
      <c r="T41" t="s">
        <v>7</v>
      </c>
      <c r="U41" t="s">
        <v>3</v>
      </c>
      <c r="V41" t="s">
        <v>6</v>
      </c>
      <c r="W41">
        <v>2023</v>
      </c>
      <c r="Y41">
        <v>27.350366999999999</v>
      </c>
      <c r="AA41" t="s">
        <v>5</v>
      </c>
      <c r="AB41" t="s">
        <v>4</v>
      </c>
      <c r="AC41">
        <v>2023</v>
      </c>
      <c r="AE41" t="s">
        <v>3</v>
      </c>
      <c r="AF41" t="s">
        <v>2</v>
      </c>
      <c r="AG41">
        <v>0</v>
      </c>
      <c r="AH41" t="s">
        <v>1</v>
      </c>
      <c r="AI41">
        <v>2</v>
      </c>
      <c r="AJ41" t="s">
        <v>0</v>
      </c>
      <c r="AK41">
        <f>_xlfn.XLOOKUP(F41,emission!A$2:A$248,emission!D$2:D$248)</f>
        <v>589178500</v>
      </c>
    </row>
    <row r="42" spans="1:37" x14ac:dyDescent="0.2">
      <c r="A42" t="s">
        <v>23</v>
      </c>
      <c r="B42" t="s">
        <v>22</v>
      </c>
      <c r="C42" t="s">
        <v>21</v>
      </c>
      <c r="D42" t="s">
        <v>20</v>
      </c>
      <c r="E42" t="s">
        <v>117</v>
      </c>
      <c r="F42" t="s">
        <v>116</v>
      </c>
      <c r="G42" t="s">
        <v>16</v>
      </c>
      <c r="H42" t="s">
        <v>17</v>
      </c>
      <c r="I42" t="s">
        <v>16</v>
      </c>
      <c r="J42" t="s">
        <v>15</v>
      </c>
      <c r="K42" t="s">
        <v>14</v>
      </c>
      <c r="L42" t="s">
        <v>13</v>
      </c>
      <c r="M42" t="s">
        <v>5</v>
      </c>
      <c r="N42" t="s">
        <v>4</v>
      </c>
      <c r="O42" t="s">
        <v>12</v>
      </c>
      <c r="P42" t="s">
        <v>11</v>
      </c>
      <c r="Q42" t="s">
        <v>10</v>
      </c>
      <c r="R42" t="s">
        <v>9</v>
      </c>
      <c r="S42" t="s">
        <v>8</v>
      </c>
      <c r="T42" t="s">
        <v>7</v>
      </c>
      <c r="U42" t="s">
        <v>3</v>
      </c>
      <c r="V42" t="s">
        <v>6</v>
      </c>
      <c r="W42">
        <v>2023</v>
      </c>
      <c r="Y42">
        <v>61.617077000000002</v>
      </c>
      <c r="AA42" t="s">
        <v>5</v>
      </c>
      <c r="AB42" t="s">
        <v>4</v>
      </c>
      <c r="AC42">
        <v>2023</v>
      </c>
      <c r="AE42" t="s">
        <v>3</v>
      </c>
      <c r="AF42" t="s">
        <v>2</v>
      </c>
      <c r="AG42">
        <v>0</v>
      </c>
      <c r="AH42" t="s">
        <v>1</v>
      </c>
      <c r="AI42">
        <v>2</v>
      </c>
      <c r="AJ42" t="s">
        <v>0</v>
      </c>
      <c r="AK42">
        <f>_xlfn.XLOOKUP(F42,emission!A$2:A$248,emission!D$2:D$248)</f>
        <v>6589883</v>
      </c>
    </row>
    <row r="43" spans="1:37" x14ac:dyDescent="0.2">
      <c r="A43" t="s">
        <v>23</v>
      </c>
      <c r="B43" t="s">
        <v>22</v>
      </c>
      <c r="C43" t="s">
        <v>21</v>
      </c>
      <c r="D43" t="s">
        <v>20</v>
      </c>
      <c r="E43" t="s">
        <v>115</v>
      </c>
      <c r="F43" t="s">
        <v>114</v>
      </c>
      <c r="G43" t="s">
        <v>16</v>
      </c>
      <c r="H43" t="s">
        <v>17</v>
      </c>
      <c r="I43" t="s">
        <v>16</v>
      </c>
      <c r="J43" t="s">
        <v>15</v>
      </c>
      <c r="K43" t="s">
        <v>14</v>
      </c>
      <c r="L43" t="s">
        <v>13</v>
      </c>
      <c r="M43" t="s">
        <v>5</v>
      </c>
      <c r="N43" t="s">
        <v>4</v>
      </c>
      <c r="O43" t="s">
        <v>12</v>
      </c>
      <c r="P43" t="s">
        <v>11</v>
      </c>
      <c r="Q43" t="s">
        <v>10</v>
      </c>
      <c r="R43" t="s">
        <v>9</v>
      </c>
      <c r="S43" t="s">
        <v>8</v>
      </c>
      <c r="T43" t="s">
        <v>7</v>
      </c>
      <c r="U43" t="s">
        <v>3</v>
      </c>
      <c r="V43" t="s">
        <v>6</v>
      </c>
      <c r="W43">
        <v>2023</v>
      </c>
      <c r="Y43">
        <v>42.414462999999998</v>
      </c>
      <c r="AA43" t="s">
        <v>5</v>
      </c>
      <c r="AB43" t="s">
        <v>4</v>
      </c>
      <c r="AC43">
        <v>2023</v>
      </c>
      <c r="AE43" t="s">
        <v>3</v>
      </c>
      <c r="AF43" t="s">
        <v>2</v>
      </c>
      <c r="AG43">
        <v>0</v>
      </c>
      <c r="AH43" t="s">
        <v>1</v>
      </c>
      <c r="AI43">
        <v>2</v>
      </c>
      <c r="AJ43" t="s">
        <v>0</v>
      </c>
      <c r="AK43">
        <f>_xlfn.XLOOKUP(F43,emission!A$2:A$248,emission!D$2:D$248)</f>
        <v>12507402</v>
      </c>
    </row>
    <row r="44" spans="1:37" x14ac:dyDescent="0.2">
      <c r="A44" t="s">
        <v>23</v>
      </c>
      <c r="B44" t="s">
        <v>22</v>
      </c>
      <c r="C44" t="s">
        <v>21</v>
      </c>
      <c r="D44" t="s">
        <v>20</v>
      </c>
      <c r="E44" t="s">
        <v>113</v>
      </c>
      <c r="F44" t="s">
        <v>112</v>
      </c>
      <c r="G44" t="s">
        <v>16</v>
      </c>
      <c r="H44" t="s">
        <v>17</v>
      </c>
      <c r="I44" t="s">
        <v>16</v>
      </c>
      <c r="J44" t="s">
        <v>15</v>
      </c>
      <c r="K44" t="s">
        <v>14</v>
      </c>
      <c r="L44" t="s">
        <v>13</v>
      </c>
      <c r="M44" t="s">
        <v>5</v>
      </c>
      <c r="N44" t="s">
        <v>4</v>
      </c>
      <c r="O44" t="s">
        <v>12</v>
      </c>
      <c r="P44" t="s">
        <v>11</v>
      </c>
      <c r="Q44" t="s">
        <v>10</v>
      </c>
      <c r="R44" t="s">
        <v>9</v>
      </c>
      <c r="S44" t="s">
        <v>8</v>
      </c>
      <c r="T44" t="s">
        <v>7</v>
      </c>
      <c r="U44" t="s">
        <v>3</v>
      </c>
      <c r="V44" t="s">
        <v>6</v>
      </c>
      <c r="W44">
        <v>2023</v>
      </c>
      <c r="Y44">
        <v>125.06547999999999</v>
      </c>
      <c r="AA44" t="s">
        <v>5</v>
      </c>
      <c r="AB44" t="s">
        <v>4</v>
      </c>
      <c r="AC44">
        <v>2023</v>
      </c>
      <c r="AE44" t="s">
        <v>3</v>
      </c>
      <c r="AF44" t="s">
        <v>2</v>
      </c>
      <c r="AG44">
        <v>0</v>
      </c>
      <c r="AH44" t="s">
        <v>1</v>
      </c>
      <c r="AI44">
        <v>2</v>
      </c>
      <c r="AJ44" t="s">
        <v>0</v>
      </c>
      <c r="AK44">
        <f>_xlfn.XLOOKUP(F44,emission!A$2:A$248,emission!D$2:D$248)</f>
        <v>6840733</v>
      </c>
    </row>
    <row r="45" spans="1:37" x14ac:dyDescent="0.2">
      <c r="A45" t="s">
        <v>23</v>
      </c>
      <c r="B45" t="s">
        <v>22</v>
      </c>
      <c r="C45" t="s">
        <v>21</v>
      </c>
      <c r="D45" t="s">
        <v>20</v>
      </c>
      <c r="E45" t="s">
        <v>111</v>
      </c>
      <c r="F45" t="s">
        <v>110</v>
      </c>
      <c r="G45" t="s">
        <v>16</v>
      </c>
      <c r="H45" t="s">
        <v>17</v>
      </c>
      <c r="I45" t="s">
        <v>16</v>
      </c>
      <c r="J45" t="s">
        <v>15</v>
      </c>
      <c r="K45" t="s">
        <v>14</v>
      </c>
      <c r="L45" t="s">
        <v>13</v>
      </c>
      <c r="M45" t="s">
        <v>5</v>
      </c>
      <c r="N45" t="s">
        <v>4</v>
      </c>
      <c r="O45" t="s">
        <v>12</v>
      </c>
      <c r="P45" t="s">
        <v>11</v>
      </c>
      <c r="Q45" t="s">
        <v>10</v>
      </c>
      <c r="R45" t="s">
        <v>9</v>
      </c>
      <c r="S45" t="s">
        <v>8</v>
      </c>
      <c r="T45" t="s">
        <v>7</v>
      </c>
      <c r="U45" t="s">
        <v>3</v>
      </c>
      <c r="V45" t="s">
        <v>6</v>
      </c>
      <c r="W45">
        <v>2023</v>
      </c>
      <c r="Y45">
        <v>28.653582</v>
      </c>
      <c r="AA45" t="s">
        <v>5</v>
      </c>
      <c r="AB45" t="s">
        <v>4</v>
      </c>
      <c r="AC45">
        <v>2023</v>
      </c>
      <c r="AE45" t="s">
        <v>3</v>
      </c>
      <c r="AF45" t="s">
        <v>2</v>
      </c>
      <c r="AG45">
        <v>0</v>
      </c>
      <c r="AH45" t="s">
        <v>1</v>
      </c>
      <c r="AI45">
        <v>2</v>
      </c>
      <c r="AJ45" t="s">
        <v>0</v>
      </c>
      <c r="AK45">
        <f>_xlfn.XLOOKUP(F45,emission!A$2:A$248,emission!D$2:D$248)</f>
        <v>458253860</v>
      </c>
    </row>
    <row r="46" spans="1:37" x14ac:dyDescent="0.2">
      <c r="A46" t="s">
        <v>23</v>
      </c>
      <c r="B46" t="s">
        <v>22</v>
      </c>
      <c r="C46" t="s">
        <v>21</v>
      </c>
      <c r="D46" t="s">
        <v>20</v>
      </c>
      <c r="E46" t="s">
        <v>109</v>
      </c>
      <c r="F46" t="s">
        <v>108</v>
      </c>
      <c r="G46" t="s">
        <v>16</v>
      </c>
      <c r="H46" t="s">
        <v>17</v>
      </c>
      <c r="I46" t="s">
        <v>16</v>
      </c>
      <c r="J46" t="s">
        <v>15</v>
      </c>
      <c r="K46" t="s">
        <v>14</v>
      </c>
      <c r="L46" t="s">
        <v>13</v>
      </c>
      <c r="M46" t="s">
        <v>5</v>
      </c>
      <c r="N46" t="s">
        <v>4</v>
      </c>
      <c r="O46" t="s">
        <v>12</v>
      </c>
      <c r="P46" t="s">
        <v>11</v>
      </c>
      <c r="Q46" t="s">
        <v>10</v>
      </c>
      <c r="R46" t="s">
        <v>9</v>
      </c>
      <c r="S46" t="s">
        <v>8</v>
      </c>
      <c r="T46" t="s">
        <v>7</v>
      </c>
      <c r="U46" t="s">
        <v>3</v>
      </c>
      <c r="V46" t="s">
        <v>6</v>
      </c>
      <c r="W46">
        <v>2023</v>
      </c>
      <c r="Y46">
        <v>110.71052</v>
      </c>
      <c r="AA46" t="s">
        <v>5</v>
      </c>
      <c r="AB46" t="s">
        <v>4</v>
      </c>
      <c r="AC46">
        <v>2023</v>
      </c>
      <c r="AE46" t="s">
        <v>3</v>
      </c>
      <c r="AF46" t="s">
        <v>2</v>
      </c>
      <c r="AG46">
        <v>0</v>
      </c>
      <c r="AH46" t="s">
        <v>1</v>
      </c>
      <c r="AI46">
        <v>2</v>
      </c>
      <c r="AJ46" t="s">
        <v>0</v>
      </c>
      <c r="AK46">
        <f>_xlfn.XLOOKUP(F46,emission!A$2:A$248,emission!D$2:D$248)</f>
        <v>117016380</v>
      </c>
    </row>
    <row r="47" spans="1:37" x14ac:dyDescent="0.2">
      <c r="A47" t="s">
        <v>23</v>
      </c>
      <c r="B47" t="s">
        <v>22</v>
      </c>
      <c r="C47" t="s">
        <v>21</v>
      </c>
      <c r="D47" t="s">
        <v>20</v>
      </c>
      <c r="E47" t="s">
        <v>107</v>
      </c>
      <c r="F47" t="s">
        <v>106</v>
      </c>
      <c r="G47" t="s">
        <v>16</v>
      </c>
      <c r="H47" t="s">
        <v>17</v>
      </c>
      <c r="I47" t="s">
        <v>16</v>
      </c>
      <c r="J47" t="s">
        <v>15</v>
      </c>
      <c r="K47" t="s">
        <v>14</v>
      </c>
      <c r="L47" t="s">
        <v>13</v>
      </c>
      <c r="M47" t="s">
        <v>5</v>
      </c>
      <c r="N47" t="s">
        <v>4</v>
      </c>
      <c r="O47" t="s">
        <v>12</v>
      </c>
      <c r="P47" t="s">
        <v>11</v>
      </c>
      <c r="Q47" t="s">
        <v>10</v>
      </c>
      <c r="R47" t="s">
        <v>9</v>
      </c>
      <c r="S47" t="s">
        <v>8</v>
      </c>
      <c r="T47" t="s">
        <v>7</v>
      </c>
      <c r="U47" t="s">
        <v>3</v>
      </c>
      <c r="V47" t="s">
        <v>6</v>
      </c>
      <c r="W47">
        <v>2023</v>
      </c>
      <c r="Y47">
        <v>33.595363999999996</v>
      </c>
      <c r="AA47" t="s">
        <v>5</v>
      </c>
      <c r="AB47" t="s">
        <v>4</v>
      </c>
      <c r="AC47">
        <v>2023</v>
      </c>
      <c r="AE47" t="s">
        <v>3</v>
      </c>
      <c r="AF47" t="s">
        <v>2</v>
      </c>
      <c r="AG47">
        <v>0</v>
      </c>
      <c r="AH47" t="s">
        <v>1</v>
      </c>
      <c r="AI47">
        <v>2</v>
      </c>
      <c r="AJ47" t="s">
        <v>0</v>
      </c>
      <c r="AK47">
        <f>_xlfn.XLOOKUP(F47,emission!A$2:A$248,emission!D$2:D$248)</f>
        <v>31559814</v>
      </c>
    </row>
    <row r="48" spans="1:37" x14ac:dyDescent="0.2">
      <c r="A48" t="s">
        <v>23</v>
      </c>
      <c r="B48" t="s">
        <v>22</v>
      </c>
      <c r="C48" t="s">
        <v>21</v>
      </c>
      <c r="D48" t="s">
        <v>20</v>
      </c>
      <c r="E48" t="s">
        <v>105</v>
      </c>
      <c r="F48" t="s">
        <v>104</v>
      </c>
      <c r="G48" t="s">
        <v>16</v>
      </c>
      <c r="H48" t="s">
        <v>17</v>
      </c>
      <c r="I48" t="s">
        <v>16</v>
      </c>
      <c r="J48" t="s">
        <v>15</v>
      </c>
      <c r="K48" t="s">
        <v>14</v>
      </c>
      <c r="L48" t="s">
        <v>13</v>
      </c>
      <c r="M48" t="s">
        <v>5</v>
      </c>
      <c r="N48" t="s">
        <v>4</v>
      </c>
      <c r="O48" t="s">
        <v>12</v>
      </c>
      <c r="P48" t="s">
        <v>11</v>
      </c>
      <c r="Q48" t="s">
        <v>10</v>
      </c>
      <c r="R48" t="s">
        <v>9</v>
      </c>
      <c r="S48" t="s">
        <v>8</v>
      </c>
      <c r="T48" t="s">
        <v>7</v>
      </c>
      <c r="U48" t="s">
        <v>3</v>
      </c>
      <c r="V48" t="s">
        <v>6</v>
      </c>
      <c r="W48">
        <v>2023</v>
      </c>
      <c r="Y48">
        <v>101.15076000000001</v>
      </c>
      <c r="AA48" t="s">
        <v>5</v>
      </c>
      <c r="AB48" t="s">
        <v>4</v>
      </c>
      <c r="AC48">
        <v>2023</v>
      </c>
      <c r="AE48" t="s">
        <v>3</v>
      </c>
      <c r="AF48" t="s">
        <v>2</v>
      </c>
      <c r="AG48">
        <v>0</v>
      </c>
      <c r="AH48" t="s">
        <v>1</v>
      </c>
      <c r="AI48">
        <v>2</v>
      </c>
      <c r="AJ48" t="s">
        <v>0</v>
      </c>
      <c r="AK48">
        <f>_xlfn.XLOOKUP(F48,emission!A$2:A$248,emission!D$2:D$248)</f>
        <v>38869000</v>
      </c>
    </row>
    <row r="49" spans="1:37" x14ac:dyDescent="0.2">
      <c r="A49" t="s">
        <v>23</v>
      </c>
      <c r="B49" t="s">
        <v>22</v>
      </c>
      <c r="C49" t="s">
        <v>21</v>
      </c>
      <c r="D49" t="s">
        <v>20</v>
      </c>
      <c r="E49" t="s">
        <v>103</v>
      </c>
      <c r="F49" t="s">
        <v>102</v>
      </c>
      <c r="G49" t="s">
        <v>16</v>
      </c>
      <c r="H49" t="s">
        <v>17</v>
      </c>
      <c r="I49" t="s">
        <v>16</v>
      </c>
      <c r="J49" t="s">
        <v>15</v>
      </c>
      <c r="K49" t="s">
        <v>14</v>
      </c>
      <c r="L49" t="s">
        <v>13</v>
      </c>
      <c r="M49" t="s">
        <v>5</v>
      </c>
      <c r="N49" t="s">
        <v>4</v>
      </c>
      <c r="O49" t="s">
        <v>12</v>
      </c>
      <c r="P49" t="s">
        <v>11</v>
      </c>
      <c r="Q49" t="s">
        <v>10</v>
      </c>
      <c r="R49" t="s">
        <v>9</v>
      </c>
      <c r="S49" t="s">
        <v>8</v>
      </c>
      <c r="T49" t="s">
        <v>7</v>
      </c>
      <c r="U49" t="s">
        <v>3</v>
      </c>
      <c r="V49" t="s">
        <v>6</v>
      </c>
      <c r="W49">
        <v>2023</v>
      </c>
      <c r="Y49">
        <v>68.158066000000005</v>
      </c>
      <c r="AA49" t="s">
        <v>5</v>
      </c>
      <c r="AB49" t="s">
        <v>4</v>
      </c>
      <c r="AC49">
        <v>2023</v>
      </c>
      <c r="AE49" t="s">
        <v>3</v>
      </c>
      <c r="AF49" t="s">
        <v>2</v>
      </c>
      <c r="AG49">
        <v>0</v>
      </c>
      <c r="AH49" t="s">
        <v>1</v>
      </c>
      <c r="AI49">
        <v>2</v>
      </c>
      <c r="AJ49" t="s">
        <v>0</v>
      </c>
      <c r="AK49">
        <f>_xlfn.XLOOKUP(F49,emission!A$2:A$248,emission!D$2:D$248)</f>
        <v>283243460</v>
      </c>
    </row>
    <row r="50" spans="1:37" x14ac:dyDescent="0.2">
      <c r="A50" t="s">
        <v>23</v>
      </c>
      <c r="B50" t="s">
        <v>22</v>
      </c>
      <c r="C50" t="s">
        <v>21</v>
      </c>
      <c r="D50" t="s">
        <v>20</v>
      </c>
      <c r="E50" t="s">
        <v>101</v>
      </c>
      <c r="F50" t="s">
        <v>100</v>
      </c>
      <c r="G50" t="s">
        <v>16</v>
      </c>
      <c r="H50" t="s">
        <v>17</v>
      </c>
      <c r="I50" t="s">
        <v>16</v>
      </c>
      <c r="J50" t="s">
        <v>15</v>
      </c>
      <c r="K50" t="s">
        <v>14</v>
      </c>
      <c r="L50" t="s">
        <v>13</v>
      </c>
      <c r="M50" t="s">
        <v>5</v>
      </c>
      <c r="N50" t="s">
        <v>4</v>
      </c>
      <c r="O50" t="s">
        <v>12</v>
      </c>
      <c r="P50" t="s">
        <v>11</v>
      </c>
      <c r="Q50" t="s">
        <v>10</v>
      </c>
      <c r="R50" t="s">
        <v>9</v>
      </c>
      <c r="S50" t="s">
        <v>8</v>
      </c>
      <c r="T50" t="s">
        <v>7</v>
      </c>
      <c r="U50" t="s">
        <v>3</v>
      </c>
      <c r="V50" t="s">
        <v>6</v>
      </c>
      <c r="W50">
        <v>2023</v>
      </c>
      <c r="Y50">
        <v>87.920753000000005</v>
      </c>
      <c r="AA50" t="s">
        <v>5</v>
      </c>
      <c r="AB50" t="s">
        <v>4</v>
      </c>
      <c r="AC50">
        <v>2023</v>
      </c>
      <c r="AE50" t="s">
        <v>3</v>
      </c>
      <c r="AF50" t="s">
        <v>2</v>
      </c>
      <c r="AG50">
        <v>0</v>
      </c>
      <c r="AH50" t="s">
        <v>1</v>
      </c>
      <c r="AI50">
        <v>2</v>
      </c>
      <c r="AJ50" t="s">
        <v>0</v>
      </c>
      <c r="AK50">
        <f>_xlfn.XLOOKUP(F50,emission!A$2:A$248,emission!D$2:D$248)</f>
        <v>37622040</v>
      </c>
    </row>
    <row r="51" spans="1:37" x14ac:dyDescent="0.2">
      <c r="A51" t="s">
        <v>23</v>
      </c>
      <c r="B51" t="s">
        <v>22</v>
      </c>
      <c r="C51" t="s">
        <v>21</v>
      </c>
      <c r="D51" t="s">
        <v>20</v>
      </c>
      <c r="E51" t="s">
        <v>99</v>
      </c>
      <c r="F51" t="s">
        <v>567</v>
      </c>
      <c r="G51" t="s">
        <v>16</v>
      </c>
      <c r="H51" t="s">
        <v>17</v>
      </c>
      <c r="I51" t="s">
        <v>16</v>
      </c>
      <c r="J51" t="s">
        <v>15</v>
      </c>
      <c r="K51" t="s">
        <v>14</v>
      </c>
      <c r="L51" t="s">
        <v>13</v>
      </c>
      <c r="M51" t="s">
        <v>5</v>
      </c>
      <c r="N51" t="s">
        <v>4</v>
      </c>
      <c r="O51" t="s">
        <v>12</v>
      </c>
      <c r="P51" t="s">
        <v>11</v>
      </c>
      <c r="Q51" t="s">
        <v>10</v>
      </c>
      <c r="R51" t="s">
        <v>9</v>
      </c>
      <c r="S51" t="s">
        <v>8</v>
      </c>
      <c r="T51" t="s">
        <v>7</v>
      </c>
      <c r="U51" t="s">
        <v>3</v>
      </c>
      <c r="V51" t="s">
        <v>6</v>
      </c>
      <c r="W51">
        <v>2023</v>
      </c>
      <c r="Y51">
        <v>62.042949999999998</v>
      </c>
      <c r="AA51" t="s">
        <v>5</v>
      </c>
      <c r="AB51" t="s">
        <v>4</v>
      </c>
      <c r="AC51">
        <v>2023</v>
      </c>
      <c r="AE51" t="s">
        <v>3</v>
      </c>
      <c r="AF51" t="s">
        <v>2</v>
      </c>
      <c r="AG51">
        <v>0</v>
      </c>
      <c r="AH51" t="s">
        <v>1</v>
      </c>
      <c r="AI51">
        <v>2</v>
      </c>
      <c r="AJ51" t="s">
        <v>0</v>
      </c>
      <c r="AK51">
        <f>_xlfn.XLOOKUP(F51,emission!A$2:A$248,emission!D$2:D$248)</f>
        <v>30766244</v>
      </c>
    </row>
    <row r="52" spans="1:37" x14ac:dyDescent="0.2">
      <c r="A52" t="s">
        <v>23</v>
      </c>
      <c r="B52" t="s">
        <v>22</v>
      </c>
      <c r="C52" t="s">
        <v>21</v>
      </c>
      <c r="D52" t="s">
        <v>20</v>
      </c>
      <c r="E52" t="s">
        <v>97</v>
      </c>
      <c r="F52" t="s">
        <v>96</v>
      </c>
      <c r="G52" t="s">
        <v>16</v>
      </c>
      <c r="H52" t="s">
        <v>17</v>
      </c>
      <c r="I52" t="s">
        <v>16</v>
      </c>
      <c r="J52" t="s">
        <v>15</v>
      </c>
      <c r="K52" t="s">
        <v>14</v>
      </c>
      <c r="L52" t="s">
        <v>13</v>
      </c>
      <c r="M52" t="s">
        <v>5</v>
      </c>
      <c r="N52" t="s">
        <v>4</v>
      </c>
      <c r="O52" t="s">
        <v>12</v>
      </c>
      <c r="P52" t="s">
        <v>11</v>
      </c>
      <c r="Q52" t="s">
        <v>10</v>
      </c>
      <c r="R52" t="s">
        <v>9</v>
      </c>
      <c r="S52" t="s">
        <v>8</v>
      </c>
      <c r="T52" t="s">
        <v>7</v>
      </c>
      <c r="U52" t="s">
        <v>3</v>
      </c>
      <c r="V52" t="s">
        <v>6</v>
      </c>
      <c r="W52">
        <v>2023</v>
      </c>
      <c r="Y52">
        <v>88.713988999999998</v>
      </c>
      <c r="AA52" t="s">
        <v>5</v>
      </c>
      <c r="AB52" t="s">
        <v>4</v>
      </c>
      <c r="AC52">
        <v>2023</v>
      </c>
      <c r="AE52" t="s">
        <v>3</v>
      </c>
      <c r="AF52" t="s">
        <v>2</v>
      </c>
      <c r="AG52">
        <v>0</v>
      </c>
      <c r="AH52" t="s">
        <v>1</v>
      </c>
      <c r="AI52">
        <v>2</v>
      </c>
      <c r="AJ52" t="s">
        <v>0</v>
      </c>
      <c r="AK52">
        <f>_xlfn.XLOOKUP(F52,emission!A$2:A$248,emission!D$2:D$248)</f>
        <v>12012164</v>
      </c>
    </row>
    <row r="53" spans="1:37" x14ac:dyDescent="0.2">
      <c r="A53" t="s">
        <v>23</v>
      </c>
      <c r="B53" t="s">
        <v>22</v>
      </c>
      <c r="C53" t="s">
        <v>21</v>
      </c>
      <c r="D53" t="s">
        <v>20</v>
      </c>
      <c r="E53" t="s">
        <v>95</v>
      </c>
      <c r="F53" t="s">
        <v>94</v>
      </c>
      <c r="G53" t="s">
        <v>16</v>
      </c>
      <c r="H53" t="s">
        <v>17</v>
      </c>
      <c r="I53" t="s">
        <v>16</v>
      </c>
      <c r="J53" t="s">
        <v>15</v>
      </c>
      <c r="K53" t="s">
        <v>14</v>
      </c>
      <c r="L53" t="s">
        <v>13</v>
      </c>
      <c r="M53" t="s">
        <v>5</v>
      </c>
      <c r="N53" t="s">
        <v>4</v>
      </c>
      <c r="O53" t="s">
        <v>12</v>
      </c>
      <c r="P53" t="s">
        <v>11</v>
      </c>
      <c r="Q53" t="s">
        <v>10</v>
      </c>
      <c r="R53" t="s">
        <v>9</v>
      </c>
      <c r="S53" t="s">
        <v>8</v>
      </c>
      <c r="T53" t="s">
        <v>7</v>
      </c>
      <c r="U53" t="s">
        <v>3</v>
      </c>
      <c r="V53" t="s">
        <v>6</v>
      </c>
      <c r="W53">
        <v>2023</v>
      </c>
      <c r="Y53">
        <v>67.718468000000001</v>
      </c>
      <c r="AA53" t="s">
        <v>5</v>
      </c>
      <c r="AB53" t="s">
        <v>4</v>
      </c>
      <c r="AC53">
        <v>2023</v>
      </c>
      <c r="AE53" t="s">
        <v>3</v>
      </c>
      <c r="AF53" t="s">
        <v>2</v>
      </c>
      <c r="AG53">
        <v>0</v>
      </c>
      <c r="AH53" t="s">
        <v>1</v>
      </c>
      <c r="AI53">
        <v>2</v>
      </c>
      <c r="AJ53" t="s">
        <v>0</v>
      </c>
      <c r="AK53">
        <f>_xlfn.XLOOKUP(F53,emission!A$2:A$248,emission!D$2:D$248)</f>
        <v>215460750</v>
      </c>
    </row>
    <row r="54" spans="1:37" x14ac:dyDescent="0.2">
      <c r="A54" t="s">
        <v>23</v>
      </c>
      <c r="B54" t="s">
        <v>22</v>
      </c>
      <c r="C54" t="s">
        <v>21</v>
      </c>
      <c r="D54" t="s">
        <v>20</v>
      </c>
      <c r="E54" t="s">
        <v>93</v>
      </c>
      <c r="F54" t="s">
        <v>92</v>
      </c>
      <c r="G54" t="s">
        <v>16</v>
      </c>
      <c r="H54" t="s">
        <v>17</v>
      </c>
      <c r="I54" t="s">
        <v>16</v>
      </c>
      <c r="J54" t="s">
        <v>15</v>
      </c>
      <c r="K54" t="s">
        <v>14</v>
      </c>
      <c r="L54" t="s">
        <v>13</v>
      </c>
      <c r="M54" t="s">
        <v>5</v>
      </c>
      <c r="N54" t="s">
        <v>4</v>
      </c>
      <c r="O54" t="s">
        <v>12</v>
      </c>
      <c r="P54" t="s">
        <v>11</v>
      </c>
      <c r="Q54" t="s">
        <v>10</v>
      </c>
      <c r="R54" t="s">
        <v>9</v>
      </c>
      <c r="S54" t="s">
        <v>8</v>
      </c>
      <c r="T54" t="s">
        <v>7</v>
      </c>
      <c r="U54" t="s">
        <v>3</v>
      </c>
      <c r="V54" t="s">
        <v>6</v>
      </c>
      <c r="W54">
        <v>2023</v>
      </c>
      <c r="Y54">
        <v>90.316199999999995</v>
      </c>
      <c r="AA54" t="s">
        <v>5</v>
      </c>
      <c r="AB54" t="s">
        <v>4</v>
      </c>
      <c r="AC54">
        <v>2023</v>
      </c>
      <c r="AE54" t="s">
        <v>3</v>
      </c>
      <c r="AF54" t="s">
        <v>2</v>
      </c>
      <c r="AG54">
        <v>0</v>
      </c>
      <c r="AH54" t="s">
        <v>1</v>
      </c>
      <c r="AI54">
        <v>2</v>
      </c>
      <c r="AJ54" t="s">
        <v>0</v>
      </c>
      <c r="AK54">
        <f>_xlfn.XLOOKUP(F54,emission!A$2:A$248,emission!D$2:D$248)</f>
        <v>36708596</v>
      </c>
    </row>
    <row r="55" spans="1:37" x14ac:dyDescent="0.2">
      <c r="A55" t="s">
        <v>23</v>
      </c>
      <c r="B55" t="s">
        <v>22</v>
      </c>
      <c r="C55" t="s">
        <v>21</v>
      </c>
      <c r="D55" t="s">
        <v>20</v>
      </c>
      <c r="E55" t="s">
        <v>91</v>
      </c>
      <c r="F55" t="s">
        <v>90</v>
      </c>
      <c r="G55" t="s">
        <v>16</v>
      </c>
      <c r="H55" t="s">
        <v>17</v>
      </c>
      <c r="I55" t="s">
        <v>16</v>
      </c>
      <c r="J55" t="s">
        <v>15</v>
      </c>
      <c r="K55" t="s">
        <v>14</v>
      </c>
      <c r="L55" t="s">
        <v>13</v>
      </c>
      <c r="M55" t="s">
        <v>5</v>
      </c>
      <c r="N55" t="s">
        <v>4</v>
      </c>
      <c r="O55" t="s">
        <v>12</v>
      </c>
      <c r="P55" t="s">
        <v>11</v>
      </c>
      <c r="Q55" t="s">
        <v>10</v>
      </c>
      <c r="R55" t="s">
        <v>9</v>
      </c>
      <c r="S55" t="s">
        <v>8</v>
      </c>
      <c r="T55" t="s">
        <v>7</v>
      </c>
      <c r="U55" t="s">
        <v>3</v>
      </c>
      <c r="V55" t="s">
        <v>6</v>
      </c>
      <c r="W55">
        <v>2023</v>
      </c>
      <c r="Y55">
        <v>168.77026000000001</v>
      </c>
      <c r="AA55" t="s">
        <v>5</v>
      </c>
      <c r="AB55" t="s">
        <v>4</v>
      </c>
      <c r="AC55">
        <v>2023</v>
      </c>
      <c r="AE55" t="s">
        <v>3</v>
      </c>
      <c r="AF55" t="s">
        <v>2</v>
      </c>
      <c r="AG55">
        <v>0</v>
      </c>
      <c r="AH55" t="s">
        <v>1</v>
      </c>
      <c r="AI55">
        <v>2</v>
      </c>
      <c r="AJ55" t="s">
        <v>0</v>
      </c>
      <c r="AK55">
        <f>_xlfn.XLOOKUP(F55,emission!A$2:A$248,emission!D$2:D$248)</f>
        <v>31977486</v>
      </c>
    </row>
    <row r="56" spans="1:37" x14ac:dyDescent="0.2">
      <c r="A56" t="s">
        <v>23</v>
      </c>
      <c r="B56" t="s">
        <v>22</v>
      </c>
      <c r="C56" t="s">
        <v>21</v>
      </c>
      <c r="D56" t="s">
        <v>20</v>
      </c>
      <c r="E56" t="s">
        <v>89</v>
      </c>
      <c r="F56" t="s">
        <v>285</v>
      </c>
      <c r="G56" t="s">
        <v>16</v>
      </c>
      <c r="H56" t="s">
        <v>17</v>
      </c>
      <c r="I56" t="s">
        <v>16</v>
      </c>
      <c r="J56" t="s">
        <v>15</v>
      </c>
      <c r="K56" t="s">
        <v>14</v>
      </c>
      <c r="L56" t="s">
        <v>13</v>
      </c>
      <c r="M56" t="s">
        <v>5</v>
      </c>
      <c r="N56" t="s">
        <v>4</v>
      </c>
      <c r="O56" t="s">
        <v>12</v>
      </c>
      <c r="P56" t="s">
        <v>11</v>
      </c>
      <c r="Q56" t="s">
        <v>10</v>
      </c>
      <c r="R56" t="s">
        <v>9</v>
      </c>
      <c r="S56" t="s">
        <v>8</v>
      </c>
      <c r="T56" t="s">
        <v>7</v>
      </c>
      <c r="U56" t="s">
        <v>3</v>
      </c>
      <c r="V56" t="s">
        <v>6</v>
      </c>
      <c r="W56">
        <v>2023</v>
      </c>
      <c r="Y56">
        <v>9.3701305000000001</v>
      </c>
      <c r="AA56" t="s">
        <v>5</v>
      </c>
      <c r="AB56" t="s">
        <v>4</v>
      </c>
      <c r="AC56">
        <v>2023</v>
      </c>
      <c r="AE56" t="s">
        <v>3</v>
      </c>
      <c r="AF56" t="s">
        <v>2</v>
      </c>
      <c r="AG56">
        <v>0</v>
      </c>
      <c r="AH56" t="s">
        <v>1</v>
      </c>
      <c r="AI56">
        <v>2</v>
      </c>
      <c r="AJ56" t="s">
        <v>0</v>
      </c>
      <c r="AK56">
        <f>_xlfn.XLOOKUP(F56,emission!A$2:A$248,emission!D$2:D$248)</f>
        <v>486944580</v>
      </c>
    </row>
    <row r="57" spans="1:37" x14ac:dyDescent="0.2">
      <c r="A57" t="s">
        <v>23</v>
      </c>
      <c r="B57" t="s">
        <v>22</v>
      </c>
      <c r="C57" t="s">
        <v>21</v>
      </c>
      <c r="D57" t="s">
        <v>20</v>
      </c>
      <c r="E57" t="s">
        <v>88</v>
      </c>
      <c r="F57" t="s">
        <v>87</v>
      </c>
      <c r="G57" t="s">
        <v>16</v>
      </c>
      <c r="H57" t="s">
        <v>17</v>
      </c>
      <c r="I57" t="s">
        <v>16</v>
      </c>
      <c r="J57" t="s">
        <v>15</v>
      </c>
      <c r="K57" t="s">
        <v>14</v>
      </c>
      <c r="L57" t="s">
        <v>13</v>
      </c>
      <c r="M57" t="s">
        <v>5</v>
      </c>
      <c r="N57" t="s">
        <v>4</v>
      </c>
      <c r="O57" t="s">
        <v>12</v>
      </c>
      <c r="P57" t="s">
        <v>11</v>
      </c>
      <c r="Q57" t="s">
        <v>10</v>
      </c>
      <c r="R57" t="s">
        <v>9</v>
      </c>
      <c r="S57" t="s">
        <v>8</v>
      </c>
      <c r="T57" t="s">
        <v>7</v>
      </c>
      <c r="U57" t="s">
        <v>3</v>
      </c>
      <c r="V57" t="s">
        <v>6</v>
      </c>
      <c r="W57">
        <v>2023</v>
      </c>
      <c r="Y57">
        <v>35.185329000000003</v>
      </c>
      <c r="AA57" t="s">
        <v>5</v>
      </c>
      <c r="AB57" t="s">
        <v>4</v>
      </c>
      <c r="AC57">
        <v>2023</v>
      </c>
      <c r="AE57" t="s">
        <v>3</v>
      </c>
      <c r="AF57" t="s">
        <v>2</v>
      </c>
      <c r="AG57">
        <v>0</v>
      </c>
      <c r="AH57" t="s">
        <v>1</v>
      </c>
      <c r="AI57">
        <v>2</v>
      </c>
      <c r="AJ57" t="s">
        <v>0</v>
      </c>
      <c r="AK57">
        <f>_xlfn.XLOOKUP(F57,emission!A$2:A$248,emission!D$2:D$248)</f>
        <v>307826140</v>
      </c>
    </row>
    <row r="58" spans="1:37" x14ac:dyDescent="0.2">
      <c r="A58" t="s">
        <v>23</v>
      </c>
      <c r="B58" t="s">
        <v>22</v>
      </c>
      <c r="C58" t="s">
        <v>21</v>
      </c>
      <c r="D58" t="s">
        <v>20</v>
      </c>
      <c r="E58" t="s">
        <v>86</v>
      </c>
      <c r="F58" t="s">
        <v>86</v>
      </c>
      <c r="G58" t="s">
        <v>16</v>
      </c>
      <c r="H58" t="s">
        <v>17</v>
      </c>
      <c r="I58" t="s">
        <v>16</v>
      </c>
      <c r="J58" t="s">
        <v>15</v>
      </c>
      <c r="K58" t="s">
        <v>14</v>
      </c>
      <c r="L58" t="s">
        <v>13</v>
      </c>
      <c r="M58" t="s">
        <v>5</v>
      </c>
      <c r="N58" t="s">
        <v>4</v>
      </c>
      <c r="O58" t="s">
        <v>12</v>
      </c>
      <c r="P58" t="s">
        <v>11</v>
      </c>
      <c r="Q58" t="s">
        <v>10</v>
      </c>
      <c r="R58" t="s">
        <v>9</v>
      </c>
      <c r="S58" t="s">
        <v>8</v>
      </c>
      <c r="T58" t="s">
        <v>7</v>
      </c>
      <c r="U58" t="s">
        <v>3</v>
      </c>
      <c r="V58" t="s">
        <v>6</v>
      </c>
      <c r="W58">
        <v>2023</v>
      </c>
      <c r="Y58">
        <v>47.151859000000002</v>
      </c>
      <c r="AA58" t="s">
        <v>5</v>
      </c>
      <c r="AB58" t="s">
        <v>4</v>
      </c>
      <c r="AC58">
        <v>2023</v>
      </c>
      <c r="AE58" t="s">
        <v>3</v>
      </c>
      <c r="AF58" t="s">
        <v>2</v>
      </c>
      <c r="AG58">
        <v>0</v>
      </c>
      <c r="AH58" t="s">
        <v>1</v>
      </c>
      <c r="AI58">
        <v>2</v>
      </c>
      <c r="AJ58" t="s">
        <v>0</v>
      </c>
      <c r="AK58" t="e">
        <f>_xlfn.XLOOKUP(F58,emission!A$2:A$248,emission!D$2:D$248)</f>
        <v>#N/A</v>
      </c>
    </row>
    <row r="59" spans="1:37" x14ac:dyDescent="0.2">
      <c r="A59" t="s">
        <v>23</v>
      </c>
      <c r="B59" t="s">
        <v>22</v>
      </c>
      <c r="C59" t="s">
        <v>21</v>
      </c>
      <c r="D59" t="s">
        <v>20</v>
      </c>
      <c r="E59" t="s">
        <v>85</v>
      </c>
      <c r="F59" t="s">
        <v>85</v>
      </c>
      <c r="G59" t="s">
        <v>16</v>
      </c>
      <c r="H59" t="s">
        <v>17</v>
      </c>
      <c r="I59" t="s">
        <v>16</v>
      </c>
      <c r="J59" t="s">
        <v>15</v>
      </c>
      <c r="K59" t="s">
        <v>14</v>
      </c>
      <c r="L59" t="s">
        <v>13</v>
      </c>
      <c r="M59" t="s">
        <v>5</v>
      </c>
      <c r="N59" t="s">
        <v>4</v>
      </c>
      <c r="O59" t="s">
        <v>12</v>
      </c>
      <c r="P59" t="s">
        <v>11</v>
      </c>
      <c r="Q59" t="s">
        <v>10</v>
      </c>
      <c r="R59" t="s">
        <v>9</v>
      </c>
      <c r="S59" t="s">
        <v>8</v>
      </c>
      <c r="T59" t="s">
        <v>7</v>
      </c>
      <c r="U59" t="s">
        <v>3</v>
      </c>
      <c r="V59" t="s">
        <v>6</v>
      </c>
      <c r="W59">
        <v>2023</v>
      </c>
      <c r="Y59">
        <v>13.210534000000001</v>
      </c>
      <c r="AA59" t="s">
        <v>5</v>
      </c>
      <c r="AB59" t="s">
        <v>4</v>
      </c>
      <c r="AC59">
        <v>2023</v>
      </c>
      <c r="AE59" t="s">
        <v>3</v>
      </c>
      <c r="AF59" t="s">
        <v>2</v>
      </c>
      <c r="AG59">
        <v>0</v>
      </c>
      <c r="AH59" t="s">
        <v>1</v>
      </c>
      <c r="AI59">
        <v>2</v>
      </c>
      <c r="AJ59" t="s">
        <v>0</v>
      </c>
      <c r="AK59" t="e">
        <f>_xlfn.XLOOKUP(F59,emission!A$2:A$248,emission!D$2:D$248)</f>
        <v>#N/A</v>
      </c>
    </row>
    <row r="60" spans="1:37" x14ac:dyDescent="0.2">
      <c r="A60" t="s">
        <v>23</v>
      </c>
      <c r="B60" t="s">
        <v>22</v>
      </c>
      <c r="C60" t="s">
        <v>21</v>
      </c>
      <c r="D60" t="s">
        <v>20</v>
      </c>
      <c r="E60" t="s">
        <v>84</v>
      </c>
      <c r="F60" t="s">
        <v>83</v>
      </c>
      <c r="G60" t="s">
        <v>16</v>
      </c>
      <c r="H60" t="s">
        <v>17</v>
      </c>
      <c r="I60" t="s">
        <v>16</v>
      </c>
      <c r="J60" t="s">
        <v>15</v>
      </c>
      <c r="K60" t="s">
        <v>14</v>
      </c>
      <c r="L60" t="s">
        <v>13</v>
      </c>
      <c r="M60" t="s">
        <v>5</v>
      </c>
      <c r="N60" t="s">
        <v>4</v>
      </c>
      <c r="O60" t="s">
        <v>12</v>
      </c>
      <c r="P60" t="s">
        <v>11</v>
      </c>
      <c r="Q60" t="s">
        <v>10</v>
      </c>
      <c r="R60" t="s">
        <v>9</v>
      </c>
      <c r="S60" t="s">
        <v>8</v>
      </c>
      <c r="T60" t="s">
        <v>7</v>
      </c>
      <c r="U60" t="s">
        <v>3</v>
      </c>
      <c r="V60" t="s">
        <v>6</v>
      </c>
      <c r="W60">
        <v>2023</v>
      </c>
      <c r="Y60">
        <v>79.666374000000005</v>
      </c>
      <c r="AA60" t="s">
        <v>5</v>
      </c>
      <c r="AB60" t="s">
        <v>4</v>
      </c>
      <c r="AC60">
        <v>2023</v>
      </c>
      <c r="AE60" t="s">
        <v>3</v>
      </c>
      <c r="AF60" t="s">
        <v>2</v>
      </c>
      <c r="AG60">
        <v>0</v>
      </c>
      <c r="AH60" t="s">
        <v>1</v>
      </c>
      <c r="AI60">
        <v>2</v>
      </c>
      <c r="AJ60" t="s">
        <v>0</v>
      </c>
      <c r="AK60" t="e">
        <f>_xlfn.XLOOKUP(F60,emission!A$2:A$248,emission!D$2:D$248)</f>
        <v>#N/A</v>
      </c>
    </row>
    <row r="61" spans="1:37" x14ac:dyDescent="0.2">
      <c r="A61" t="s">
        <v>23</v>
      </c>
      <c r="B61" t="s">
        <v>22</v>
      </c>
      <c r="C61" t="s">
        <v>21</v>
      </c>
      <c r="D61" t="s">
        <v>20</v>
      </c>
      <c r="E61" t="s">
        <v>82</v>
      </c>
      <c r="F61" t="s">
        <v>81</v>
      </c>
      <c r="G61" t="s">
        <v>16</v>
      </c>
      <c r="H61" t="s">
        <v>17</v>
      </c>
      <c r="I61" t="s">
        <v>16</v>
      </c>
      <c r="J61" t="s">
        <v>15</v>
      </c>
      <c r="K61" t="s">
        <v>14</v>
      </c>
      <c r="L61" t="s">
        <v>13</v>
      </c>
      <c r="M61" t="s">
        <v>5</v>
      </c>
      <c r="N61" t="s">
        <v>4</v>
      </c>
      <c r="O61" t="s">
        <v>12</v>
      </c>
      <c r="P61" t="s">
        <v>11</v>
      </c>
      <c r="Q61" t="s">
        <v>10</v>
      </c>
      <c r="R61" t="s">
        <v>9</v>
      </c>
      <c r="S61" t="s">
        <v>8</v>
      </c>
      <c r="T61" t="s">
        <v>7</v>
      </c>
      <c r="U61" t="s">
        <v>3</v>
      </c>
      <c r="V61" t="s">
        <v>6</v>
      </c>
      <c r="W61">
        <v>2023</v>
      </c>
      <c r="Y61">
        <v>44.378967000000003</v>
      </c>
      <c r="AA61" t="s">
        <v>5</v>
      </c>
      <c r="AB61" t="s">
        <v>4</v>
      </c>
      <c r="AC61">
        <v>2023</v>
      </c>
      <c r="AE61" t="s">
        <v>3</v>
      </c>
      <c r="AF61" t="s">
        <v>2</v>
      </c>
      <c r="AG61">
        <v>0</v>
      </c>
      <c r="AH61" t="s">
        <v>1</v>
      </c>
      <c r="AI61">
        <v>2</v>
      </c>
      <c r="AJ61" t="s">
        <v>0</v>
      </c>
      <c r="AK61" t="e">
        <f>_xlfn.XLOOKUP(F61,emission!A$2:A$248,emission!D$2:D$248)</f>
        <v>#N/A</v>
      </c>
    </row>
    <row r="62" spans="1:37" x14ac:dyDescent="0.2">
      <c r="A62" t="s">
        <v>23</v>
      </c>
      <c r="B62" t="s">
        <v>22</v>
      </c>
      <c r="C62" t="s">
        <v>21</v>
      </c>
      <c r="D62" t="s">
        <v>20</v>
      </c>
      <c r="E62" t="s">
        <v>80</v>
      </c>
      <c r="F62" t="s">
        <v>79</v>
      </c>
      <c r="G62" t="s">
        <v>16</v>
      </c>
      <c r="H62" t="s">
        <v>17</v>
      </c>
      <c r="I62" t="s">
        <v>16</v>
      </c>
      <c r="J62" t="s">
        <v>15</v>
      </c>
      <c r="K62" t="s">
        <v>14</v>
      </c>
      <c r="L62" t="s">
        <v>13</v>
      </c>
      <c r="M62" t="s">
        <v>5</v>
      </c>
      <c r="N62" t="s">
        <v>4</v>
      </c>
      <c r="O62" t="s">
        <v>12</v>
      </c>
      <c r="P62" t="s">
        <v>11</v>
      </c>
      <c r="Q62" t="s">
        <v>10</v>
      </c>
      <c r="R62" t="s">
        <v>9</v>
      </c>
      <c r="S62" t="s">
        <v>8</v>
      </c>
      <c r="T62" t="s">
        <v>7</v>
      </c>
      <c r="U62" t="s">
        <v>3</v>
      </c>
      <c r="V62" t="s">
        <v>6</v>
      </c>
      <c r="W62">
        <v>2023</v>
      </c>
      <c r="Y62">
        <v>9.1290312</v>
      </c>
      <c r="AA62" t="s">
        <v>5</v>
      </c>
      <c r="AB62" t="s">
        <v>4</v>
      </c>
      <c r="AC62">
        <v>2023</v>
      </c>
      <c r="AE62" t="s">
        <v>3</v>
      </c>
      <c r="AF62" t="s">
        <v>2</v>
      </c>
      <c r="AG62">
        <v>0</v>
      </c>
      <c r="AH62" t="s">
        <v>1</v>
      </c>
      <c r="AI62">
        <v>2</v>
      </c>
      <c r="AJ62" t="s">
        <v>0</v>
      </c>
      <c r="AK62">
        <f>_xlfn.XLOOKUP(F62,emission!A$2:A$248,emission!D$2:D$248)</f>
        <v>178406990</v>
      </c>
    </row>
    <row r="63" spans="1:37" x14ac:dyDescent="0.2">
      <c r="A63" t="s">
        <v>23</v>
      </c>
      <c r="B63" t="s">
        <v>22</v>
      </c>
      <c r="C63" t="s">
        <v>21</v>
      </c>
      <c r="D63" t="s">
        <v>20</v>
      </c>
      <c r="E63" t="s">
        <v>78</v>
      </c>
      <c r="F63" t="s">
        <v>77</v>
      </c>
      <c r="G63" t="s">
        <v>16</v>
      </c>
      <c r="H63" t="s">
        <v>17</v>
      </c>
      <c r="I63" t="s">
        <v>16</v>
      </c>
      <c r="J63" t="s">
        <v>15</v>
      </c>
      <c r="K63" t="s">
        <v>14</v>
      </c>
      <c r="L63" t="s">
        <v>13</v>
      </c>
      <c r="M63" t="s">
        <v>5</v>
      </c>
      <c r="N63" t="s">
        <v>4</v>
      </c>
      <c r="O63" t="s">
        <v>12</v>
      </c>
      <c r="P63" t="s">
        <v>11</v>
      </c>
      <c r="Q63" t="s">
        <v>10</v>
      </c>
      <c r="R63" t="s">
        <v>9</v>
      </c>
      <c r="S63" t="s">
        <v>8</v>
      </c>
      <c r="T63" t="s">
        <v>7</v>
      </c>
      <c r="U63" t="s">
        <v>3</v>
      </c>
      <c r="V63" t="s">
        <v>6</v>
      </c>
      <c r="W63">
        <v>2023</v>
      </c>
      <c r="Y63">
        <v>0.43982789</v>
      </c>
      <c r="AA63" t="s">
        <v>5</v>
      </c>
      <c r="AB63" t="s">
        <v>4</v>
      </c>
      <c r="AC63">
        <v>2023</v>
      </c>
      <c r="AE63" t="s">
        <v>3</v>
      </c>
      <c r="AF63" t="s">
        <v>2</v>
      </c>
      <c r="AG63">
        <v>0</v>
      </c>
      <c r="AH63" t="s">
        <v>1</v>
      </c>
      <c r="AI63">
        <v>2</v>
      </c>
      <c r="AJ63" t="s">
        <v>0</v>
      </c>
      <c r="AK63">
        <f>_xlfn.XLOOKUP(F63,emission!A$2:A$248,emission!D$2:D$248)</f>
        <v>483991940</v>
      </c>
    </row>
    <row r="64" spans="1:37" x14ac:dyDescent="0.2">
      <c r="A64" t="s">
        <v>23</v>
      </c>
      <c r="B64" t="s">
        <v>22</v>
      </c>
      <c r="C64" t="s">
        <v>21</v>
      </c>
      <c r="D64" t="s">
        <v>20</v>
      </c>
      <c r="E64" t="s">
        <v>76</v>
      </c>
      <c r="F64" t="s">
        <v>75</v>
      </c>
      <c r="G64" t="s">
        <v>16</v>
      </c>
      <c r="H64" t="s">
        <v>17</v>
      </c>
      <c r="I64" t="s">
        <v>16</v>
      </c>
      <c r="J64" t="s">
        <v>15</v>
      </c>
      <c r="K64" t="s">
        <v>14</v>
      </c>
      <c r="L64" t="s">
        <v>13</v>
      </c>
      <c r="M64" t="s">
        <v>5</v>
      </c>
      <c r="N64" t="s">
        <v>4</v>
      </c>
      <c r="O64" t="s">
        <v>12</v>
      </c>
      <c r="P64" t="s">
        <v>11</v>
      </c>
      <c r="Q64" t="s">
        <v>10</v>
      </c>
      <c r="R64" t="s">
        <v>9</v>
      </c>
      <c r="S64" t="s">
        <v>8</v>
      </c>
      <c r="T64" t="s">
        <v>7</v>
      </c>
      <c r="U64" t="s">
        <v>3</v>
      </c>
      <c r="V64" t="s">
        <v>6</v>
      </c>
      <c r="W64">
        <v>2023</v>
      </c>
      <c r="Y64">
        <v>60.509453000000001</v>
      </c>
      <c r="AA64" t="s">
        <v>5</v>
      </c>
      <c r="AB64" t="s">
        <v>4</v>
      </c>
      <c r="AC64">
        <v>2023</v>
      </c>
      <c r="AE64" t="s">
        <v>3</v>
      </c>
      <c r="AF64" t="s">
        <v>2</v>
      </c>
      <c r="AG64">
        <v>0</v>
      </c>
      <c r="AH64" t="s">
        <v>1</v>
      </c>
      <c r="AI64">
        <v>2</v>
      </c>
      <c r="AJ64" t="s">
        <v>0</v>
      </c>
      <c r="AK64">
        <f>_xlfn.XLOOKUP(F64,emission!A$2:A$248,emission!D$2:D$248)</f>
        <v>34500948</v>
      </c>
    </row>
    <row r="65" spans="1:37" x14ac:dyDescent="0.2">
      <c r="A65" t="s">
        <v>23</v>
      </c>
      <c r="B65" t="s">
        <v>22</v>
      </c>
      <c r="C65" t="s">
        <v>21</v>
      </c>
      <c r="D65" t="s">
        <v>20</v>
      </c>
      <c r="E65" t="s">
        <v>74</v>
      </c>
      <c r="F65" t="s">
        <v>284</v>
      </c>
      <c r="G65" t="s">
        <v>16</v>
      </c>
      <c r="H65" t="s">
        <v>17</v>
      </c>
      <c r="I65" t="s">
        <v>16</v>
      </c>
      <c r="J65" t="s">
        <v>15</v>
      </c>
      <c r="K65" t="s">
        <v>14</v>
      </c>
      <c r="L65" t="s">
        <v>13</v>
      </c>
      <c r="M65" t="s">
        <v>5</v>
      </c>
      <c r="N65" t="s">
        <v>4</v>
      </c>
      <c r="O65" t="s">
        <v>12</v>
      </c>
      <c r="P65" t="s">
        <v>11</v>
      </c>
      <c r="Q65" t="s">
        <v>10</v>
      </c>
      <c r="R65" t="s">
        <v>9</v>
      </c>
      <c r="S65" t="s">
        <v>8</v>
      </c>
      <c r="T65" t="s">
        <v>7</v>
      </c>
      <c r="U65" t="s">
        <v>3</v>
      </c>
      <c r="V65" t="s">
        <v>6</v>
      </c>
      <c r="W65">
        <v>2023</v>
      </c>
      <c r="Y65">
        <v>8.6312990000000003</v>
      </c>
      <c r="AA65" t="s">
        <v>5</v>
      </c>
      <c r="AB65" t="s">
        <v>4</v>
      </c>
      <c r="AC65">
        <v>2023</v>
      </c>
      <c r="AE65" t="s">
        <v>3</v>
      </c>
      <c r="AF65" t="s">
        <v>2</v>
      </c>
      <c r="AG65">
        <v>0</v>
      </c>
      <c r="AH65" t="s">
        <v>1</v>
      </c>
      <c r="AI65">
        <v>2</v>
      </c>
      <c r="AJ65" t="s">
        <v>0</v>
      </c>
      <c r="AK65">
        <f>_xlfn.XLOOKUP(F65,emission!A$2:A$248,emission!D$2:D$248)</f>
        <v>12172008000</v>
      </c>
    </row>
    <row r="66" spans="1:37" x14ac:dyDescent="0.2">
      <c r="A66" t="s">
        <v>23</v>
      </c>
      <c r="B66" t="s">
        <v>22</v>
      </c>
      <c r="C66" t="s">
        <v>21</v>
      </c>
      <c r="D66" t="s">
        <v>20</v>
      </c>
      <c r="E66" t="s">
        <v>73</v>
      </c>
      <c r="F66" t="s">
        <v>72</v>
      </c>
      <c r="G66" t="s">
        <v>16</v>
      </c>
      <c r="H66" t="s">
        <v>17</v>
      </c>
      <c r="I66" t="s">
        <v>16</v>
      </c>
      <c r="J66" t="s">
        <v>15</v>
      </c>
      <c r="K66" t="s">
        <v>14</v>
      </c>
      <c r="L66" t="s">
        <v>13</v>
      </c>
      <c r="M66" t="s">
        <v>5</v>
      </c>
      <c r="N66" t="s">
        <v>4</v>
      </c>
      <c r="O66" t="s">
        <v>12</v>
      </c>
      <c r="P66" t="s">
        <v>11</v>
      </c>
      <c r="Q66" t="s">
        <v>10</v>
      </c>
      <c r="R66" t="s">
        <v>9</v>
      </c>
      <c r="S66" t="s">
        <v>8</v>
      </c>
      <c r="T66" t="s">
        <v>7</v>
      </c>
      <c r="U66" t="s">
        <v>3</v>
      </c>
      <c r="V66" t="s">
        <v>6</v>
      </c>
      <c r="W66">
        <v>2023</v>
      </c>
      <c r="Y66">
        <v>69.537514000000002</v>
      </c>
      <c r="AA66" t="s">
        <v>5</v>
      </c>
      <c r="AB66" t="s">
        <v>4</v>
      </c>
      <c r="AC66">
        <v>2023</v>
      </c>
      <c r="AE66" t="s">
        <v>3</v>
      </c>
      <c r="AF66" t="s">
        <v>2</v>
      </c>
      <c r="AG66">
        <v>0</v>
      </c>
      <c r="AH66" t="s">
        <v>1</v>
      </c>
      <c r="AI66">
        <v>2</v>
      </c>
      <c r="AJ66" t="s">
        <v>0</v>
      </c>
      <c r="AK66">
        <f>_xlfn.XLOOKUP(F66,emission!A$2:A$248,emission!D$2:D$248)</f>
        <v>18467598</v>
      </c>
    </row>
    <row r="67" spans="1:37" x14ac:dyDescent="0.2">
      <c r="A67" t="s">
        <v>23</v>
      </c>
      <c r="B67" t="s">
        <v>22</v>
      </c>
      <c r="C67" t="s">
        <v>21</v>
      </c>
      <c r="D67" t="s">
        <v>20</v>
      </c>
      <c r="E67" t="s">
        <v>71</v>
      </c>
      <c r="F67" t="s">
        <v>70</v>
      </c>
      <c r="G67" t="s">
        <v>16</v>
      </c>
      <c r="H67" t="s">
        <v>17</v>
      </c>
      <c r="I67" t="s">
        <v>16</v>
      </c>
      <c r="J67" t="s">
        <v>15</v>
      </c>
      <c r="K67" t="s">
        <v>14</v>
      </c>
      <c r="L67" t="s">
        <v>13</v>
      </c>
      <c r="M67" t="s">
        <v>5</v>
      </c>
      <c r="N67" t="s">
        <v>4</v>
      </c>
      <c r="O67" t="s">
        <v>12</v>
      </c>
      <c r="P67" t="s">
        <v>11</v>
      </c>
      <c r="Q67" t="s">
        <v>10</v>
      </c>
      <c r="R67" t="s">
        <v>9</v>
      </c>
      <c r="S67" t="s">
        <v>8</v>
      </c>
      <c r="T67" t="s">
        <v>7</v>
      </c>
      <c r="U67" t="s">
        <v>3</v>
      </c>
      <c r="V67" t="s">
        <v>6</v>
      </c>
      <c r="W67">
        <v>2023</v>
      </c>
      <c r="Y67">
        <v>81.570091000000005</v>
      </c>
      <c r="AA67" t="s">
        <v>5</v>
      </c>
      <c r="AB67" t="s">
        <v>4</v>
      </c>
      <c r="AC67">
        <v>2023</v>
      </c>
      <c r="AE67" t="s">
        <v>3</v>
      </c>
      <c r="AF67" t="s">
        <v>2</v>
      </c>
      <c r="AG67">
        <v>0</v>
      </c>
      <c r="AH67" t="s">
        <v>1</v>
      </c>
      <c r="AI67">
        <v>2</v>
      </c>
      <c r="AJ67" t="s">
        <v>0</v>
      </c>
      <c r="AK67">
        <f>_xlfn.XLOOKUP(F67,emission!A$2:A$248,emission!D$2:D$248)</f>
        <v>7188089</v>
      </c>
    </row>
    <row r="68" spans="1:37" x14ac:dyDescent="0.2">
      <c r="A68" t="s">
        <v>23</v>
      </c>
      <c r="B68" t="s">
        <v>22</v>
      </c>
      <c r="C68" t="s">
        <v>21</v>
      </c>
      <c r="D68" t="s">
        <v>20</v>
      </c>
      <c r="E68" t="s">
        <v>69</v>
      </c>
      <c r="F68" t="s">
        <v>68</v>
      </c>
      <c r="G68" t="s">
        <v>16</v>
      </c>
      <c r="H68" t="s">
        <v>17</v>
      </c>
      <c r="I68" t="s">
        <v>16</v>
      </c>
      <c r="J68" t="s">
        <v>15</v>
      </c>
      <c r="K68" t="s">
        <v>14</v>
      </c>
      <c r="L68" t="s">
        <v>13</v>
      </c>
      <c r="M68" t="s">
        <v>5</v>
      </c>
      <c r="N68" t="s">
        <v>4</v>
      </c>
      <c r="O68" t="s">
        <v>12</v>
      </c>
      <c r="P68" t="s">
        <v>11</v>
      </c>
      <c r="Q68" t="s">
        <v>10</v>
      </c>
      <c r="R68" t="s">
        <v>9</v>
      </c>
      <c r="S68" t="s">
        <v>8</v>
      </c>
      <c r="T68" t="s">
        <v>7</v>
      </c>
      <c r="U68" t="s">
        <v>3</v>
      </c>
      <c r="V68" t="s">
        <v>6</v>
      </c>
      <c r="W68">
        <v>2023</v>
      </c>
      <c r="Y68">
        <v>14.999579000000001</v>
      </c>
      <c r="AA68" t="s">
        <v>5</v>
      </c>
      <c r="AB68" t="s">
        <v>4</v>
      </c>
      <c r="AC68">
        <v>2023</v>
      </c>
      <c r="AE68" t="s">
        <v>3</v>
      </c>
      <c r="AF68" t="s">
        <v>2</v>
      </c>
      <c r="AG68">
        <v>0</v>
      </c>
      <c r="AH68" t="s">
        <v>1</v>
      </c>
      <c r="AI68">
        <v>2</v>
      </c>
      <c r="AJ68" t="s">
        <v>0</v>
      </c>
      <c r="AK68">
        <f>_xlfn.XLOOKUP(F68,emission!A$2:A$248,emission!D$2:D$248)</f>
        <v>31828554</v>
      </c>
    </row>
    <row r="69" spans="1:37" x14ac:dyDescent="0.2">
      <c r="A69" t="s">
        <v>23</v>
      </c>
      <c r="B69" t="s">
        <v>22</v>
      </c>
      <c r="C69" t="s">
        <v>21</v>
      </c>
      <c r="D69" t="s">
        <v>20</v>
      </c>
      <c r="E69" t="s">
        <v>67</v>
      </c>
      <c r="F69" t="s">
        <v>66</v>
      </c>
      <c r="G69" t="s">
        <v>16</v>
      </c>
      <c r="H69" t="s">
        <v>17</v>
      </c>
      <c r="I69" t="s">
        <v>16</v>
      </c>
      <c r="J69" t="s">
        <v>15</v>
      </c>
      <c r="K69" t="s">
        <v>14</v>
      </c>
      <c r="L69" t="s">
        <v>13</v>
      </c>
      <c r="M69" t="s">
        <v>5</v>
      </c>
      <c r="N69" t="s">
        <v>4</v>
      </c>
      <c r="O69" t="s">
        <v>12</v>
      </c>
      <c r="P69" t="s">
        <v>11</v>
      </c>
      <c r="Q69" t="s">
        <v>10</v>
      </c>
      <c r="R69" t="s">
        <v>9</v>
      </c>
      <c r="S69" t="s">
        <v>8</v>
      </c>
      <c r="T69" t="s">
        <v>7</v>
      </c>
      <c r="U69" t="s">
        <v>3</v>
      </c>
      <c r="V69" t="s">
        <v>6</v>
      </c>
      <c r="W69">
        <v>2023</v>
      </c>
      <c r="Y69">
        <v>18.661732000000001</v>
      </c>
      <c r="AA69" t="s">
        <v>5</v>
      </c>
      <c r="AB69" t="s">
        <v>4</v>
      </c>
      <c r="AC69">
        <v>2023</v>
      </c>
      <c r="AE69" t="s">
        <v>3</v>
      </c>
      <c r="AF69" t="s">
        <v>2</v>
      </c>
      <c r="AG69">
        <v>0</v>
      </c>
      <c r="AH69" t="s">
        <v>1</v>
      </c>
      <c r="AI69">
        <v>2</v>
      </c>
      <c r="AJ69" t="s">
        <v>0</v>
      </c>
      <c r="AK69">
        <f>_xlfn.XLOOKUP(F69,emission!A$2:A$248,emission!D$2:D$248)</f>
        <v>20135648</v>
      </c>
    </row>
    <row r="70" spans="1:37" x14ac:dyDescent="0.2">
      <c r="A70" t="s">
        <v>23</v>
      </c>
      <c r="B70" t="s">
        <v>22</v>
      </c>
      <c r="C70" t="s">
        <v>21</v>
      </c>
      <c r="D70" t="s">
        <v>20</v>
      </c>
      <c r="E70" t="s">
        <v>65</v>
      </c>
      <c r="F70" t="s">
        <v>64</v>
      </c>
      <c r="G70" t="s">
        <v>16</v>
      </c>
      <c r="H70" t="s">
        <v>17</v>
      </c>
      <c r="I70" t="s">
        <v>16</v>
      </c>
      <c r="J70" t="s">
        <v>15</v>
      </c>
      <c r="K70" t="s">
        <v>14</v>
      </c>
      <c r="L70" t="s">
        <v>13</v>
      </c>
      <c r="M70" t="s">
        <v>5</v>
      </c>
      <c r="N70" t="s">
        <v>4</v>
      </c>
      <c r="O70" t="s">
        <v>12</v>
      </c>
      <c r="P70" t="s">
        <v>11</v>
      </c>
      <c r="Q70" t="s">
        <v>10</v>
      </c>
      <c r="R70" t="s">
        <v>9</v>
      </c>
      <c r="S70" t="s">
        <v>8</v>
      </c>
      <c r="T70" t="s">
        <v>7</v>
      </c>
      <c r="U70" t="s">
        <v>3</v>
      </c>
      <c r="V70" t="s">
        <v>6</v>
      </c>
      <c r="W70">
        <v>2023</v>
      </c>
      <c r="Y70">
        <v>11.460323000000001</v>
      </c>
      <c r="AA70" t="s">
        <v>5</v>
      </c>
      <c r="AB70" t="s">
        <v>4</v>
      </c>
      <c r="AC70">
        <v>2023</v>
      </c>
      <c r="AE70" t="s">
        <v>3</v>
      </c>
      <c r="AF70" t="s">
        <v>2</v>
      </c>
      <c r="AG70">
        <v>0</v>
      </c>
      <c r="AH70" t="s">
        <v>1</v>
      </c>
      <c r="AI70">
        <v>2</v>
      </c>
      <c r="AJ70" t="s">
        <v>0</v>
      </c>
      <c r="AK70">
        <f>_xlfn.XLOOKUP(F70,emission!A$2:A$248,emission!D$2:D$248)</f>
        <v>19736068</v>
      </c>
    </row>
    <row r="71" spans="1:37" x14ac:dyDescent="0.2">
      <c r="A71" t="s">
        <v>23</v>
      </c>
      <c r="B71" t="s">
        <v>22</v>
      </c>
      <c r="C71" t="s">
        <v>21</v>
      </c>
      <c r="D71" t="s">
        <v>20</v>
      </c>
      <c r="E71" t="s">
        <v>63</v>
      </c>
      <c r="F71" t="s">
        <v>62</v>
      </c>
      <c r="G71" t="s">
        <v>16</v>
      </c>
      <c r="H71" t="s">
        <v>17</v>
      </c>
      <c r="I71" t="s">
        <v>16</v>
      </c>
      <c r="J71" t="s">
        <v>15</v>
      </c>
      <c r="K71" t="s">
        <v>14</v>
      </c>
      <c r="L71" t="s">
        <v>13</v>
      </c>
      <c r="M71" t="s">
        <v>5</v>
      </c>
      <c r="N71" t="s">
        <v>4</v>
      </c>
      <c r="O71" t="s">
        <v>12</v>
      </c>
      <c r="P71" t="s">
        <v>11</v>
      </c>
      <c r="Q71" t="s">
        <v>10</v>
      </c>
      <c r="R71" t="s">
        <v>9</v>
      </c>
      <c r="S71" t="s">
        <v>8</v>
      </c>
      <c r="T71" t="s">
        <v>7</v>
      </c>
      <c r="U71" t="s">
        <v>3</v>
      </c>
      <c r="V71" t="s">
        <v>6</v>
      </c>
      <c r="W71">
        <v>2023</v>
      </c>
      <c r="Y71">
        <v>8.0938739999999996</v>
      </c>
      <c r="AA71" t="s">
        <v>5</v>
      </c>
      <c r="AB71" t="s">
        <v>4</v>
      </c>
      <c r="AC71">
        <v>2023</v>
      </c>
      <c r="AE71" t="s">
        <v>3</v>
      </c>
      <c r="AF71" t="s">
        <v>2</v>
      </c>
      <c r="AG71">
        <v>0</v>
      </c>
      <c r="AH71" t="s">
        <v>1</v>
      </c>
      <c r="AI71">
        <v>2</v>
      </c>
      <c r="AJ71" t="s">
        <v>0</v>
      </c>
      <c r="AK71">
        <f>_xlfn.XLOOKUP(F71,emission!A$2:A$248,emission!D$2:D$248)</f>
        <v>3062756400</v>
      </c>
    </row>
    <row r="72" spans="1:37" x14ac:dyDescent="0.2">
      <c r="A72" t="s">
        <v>23</v>
      </c>
      <c r="B72" t="s">
        <v>22</v>
      </c>
      <c r="C72" t="s">
        <v>21</v>
      </c>
      <c r="D72" t="s">
        <v>20</v>
      </c>
      <c r="E72" t="s">
        <v>61</v>
      </c>
      <c r="F72" t="s">
        <v>60</v>
      </c>
      <c r="G72" t="s">
        <v>16</v>
      </c>
      <c r="H72" t="s">
        <v>17</v>
      </c>
      <c r="I72" t="s">
        <v>16</v>
      </c>
      <c r="J72" t="s">
        <v>15</v>
      </c>
      <c r="K72" t="s">
        <v>14</v>
      </c>
      <c r="L72" t="s">
        <v>13</v>
      </c>
      <c r="M72" t="s">
        <v>5</v>
      </c>
      <c r="N72" t="s">
        <v>4</v>
      </c>
      <c r="O72" t="s">
        <v>12</v>
      </c>
      <c r="P72" t="s">
        <v>11</v>
      </c>
      <c r="Q72" t="s">
        <v>10</v>
      </c>
      <c r="R72" t="s">
        <v>9</v>
      </c>
      <c r="S72" t="s">
        <v>8</v>
      </c>
      <c r="T72" t="s">
        <v>7</v>
      </c>
      <c r="U72" t="s">
        <v>3</v>
      </c>
      <c r="V72" t="s">
        <v>6</v>
      </c>
      <c r="W72">
        <v>2023</v>
      </c>
      <c r="Y72">
        <v>32.713000999999998</v>
      </c>
      <c r="AA72" t="s">
        <v>5</v>
      </c>
      <c r="AB72" t="s">
        <v>4</v>
      </c>
      <c r="AC72">
        <v>2023</v>
      </c>
      <c r="AE72" t="s">
        <v>3</v>
      </c>
      <c r="AF72" t="s">
        <v>2</v>
      </c>
      <c r="AG72">
        <v>0</v>
      </c>
      <c r="AH72" t="s">
        <v>1</v>
      </c>
      <c r="AI72">
        <v>2</v>
      </c>
      <c r="AJ72" t="s">
        <v>0</v>
      </c>
      <c r="AK72">
        <f>_xlfn.XLOOKUP(F72,emission!A$2:A$248,emission!D$2:D$248)</f>
        <v>8068915.5</v>
      </c>
    </row>
    <row r="73" spans="1:37" x14ac:dyDescent="0.2">
      <c r="A73" t="s">
        <v>23</v>
      </c>
      <c r="B73" t="s">
        <v>22</v>
      </c>
      <c r="C73" t="s">
        <v>21</v>
      </c>
      <c r="D73" t="s">
        <v>20</v>
      </c>
      <c r="E73" t="s">
        <v>59</v>
      </c>
      <c r="F73" t="s">
        <v>58</v>
      </c>
      <c r="G73" t="s">
        <v>16</v>
      </c>
      <c r="H73" t="s">
        <v>17</v>
      </c>
      <c r="I73" t="s">
        <v>16</v>
      </c>
      <c r="J73" t="s">
        <v>15</v>
      </c>
      <c r="K73" t="s">
        <v>14</v>
      </c>
      <c r="L73" t="s">
        <v>13</v>
      </c>
      <c r="M73" t="s">
        <v>5</v>
      </c>
      <c r="N73" t="s">
        <v>4</v>
      </c>
      <c r="O73" t="s">
        <v>12</v>
      </c>
      <c r="P73" t="s">
        <v>11</v>
      </c>
      <c r="Q73" t="s">
        <v>10</v>
      </c>
      <c r="R73" t="s">
        <v>9</v>
      </c>
      <c r="S73" t="s">
        <v>8</v>
      </c>
      <c r="T73" t="s">
        <v>7</v>
      </c>
      <c r="U73" t="s">
        <v>3</v>
      </c>
      <c r="V73" t="s">
        <v>6</v>
      </c>
      <c r="W73">
        <v>2023</v>
      </c>
      <c r="Y73">
        <v>13.884295</v>
      </c>
      <c r="AA73" t="s">
        <v>5</v>
      </c>
      <c r="AB73" t="s">
        <v>4</v>
      </c>
      <c r="AC73">
        <v>2023</v>
      </c>
      <c r="AE73" t="s">
        <v>3</v>
      </c>
      <c r="AF73" t="s">
        <v>2</v>
      </c>
      <c r="AG73">
        <v>0</v>
      </c>
      <c r="AH73" t="s">
        <v>1</v>
      </c>
      <c r="AI73">
        <v>2</v>
      </c>
      <c r="AJ73" t="s">
        <v>0</v>
      </c>
      <c r="AK73">
        <f>_xlfn.XLOOKUP(F73,emission!A$2:A$248,emission!D$2:D$248)</f>
        <v>21185722</v>
      </c>
    </row>
    <row r="74" spans="1:37" x14ac:dyDescent="0.2">
      <c r="A74" t="s">
        <v>23</v>
      </c>
      <c r="B74" t="s">
        <v>22</v>
      </c>
      <c r="C74" t="s">
        <v>21</v>
      </c>
      <c r="D74" t="s">
        <v>20</v>
      </c>
      <c r="E74" t="s">
        <v>57</v>
      </c>
      <c r="F74" t="s">
        <v>56</v>
      </c>
      <c r="G74" t="s">
        <v>16</v>
      </c>
      <c r="H74" t="s">
        <v>17</v>
      </c>
      <c r="I74" t="s">
        <v>16</v>
      </c>
      <c r="J74" t="s">
        <v>15</v>
      </c>
      <c r="K74" t="s">
        <v>14</v>
      </c>
      <c r="L74" t="s">
        <v>13</v>
      </c>
      <c r="M74" t="s">
        <v>5</v>
      </c>
      <c r="N74" t="s">
        <v>4</v>
      </c>
      <c r="O74" t="s">
        <v>12</v>
      </c>
      <c r="P74" t="s">
        <v>11</v>
      </c>
      <c r="Q74" t="s">
        <v>10</v>
      </c>
      <c r="R74" t="s">
        <v>9</v>
      </c>
      <c r="S74" t="s">
        <v>8</v>
      </c>
      <c r="T74" t="s">
        <v>7</v>
      </c>
      <c r="U74" t="s">
        <v>3</v>
      </c>
      <c r="V74" t="s">
        <v>6</v>
      </c>
      <c r="W74">
        <v>2023</v>
      </c>
      <c r="Y74">
        <v>4.2888875000000004</v>
      </c>
      <c r="AA74" t="s">
        <v>5</v>
      </c>
      <c r="AB74" t="s">
        <v>4</v>
      </c>
      <c r="AC74">
        <v>2023</v>
      </c>
      <c r="AE74" t="s">
        <v>3</v>
      </c>
      <c r="AF74" t="s">
        <v>2</v>
      </c>
      <c r="AG74">
        <v>0</v>
      </c>
      <c r="AH74" t="s">
        <v>1</v>
      </c>
      <c r="AI74">
        <v>2</v>
      </c>
      <c r="AJ74" t="s">
        <v>0</v>
      </c>
      <c r="AK74">
        <f>_xlfn.XLOOKUP(F74,emission!A$2:A$248,emission!D$2:D$248)</f>
        <v>11144427</v>
      </c>
    </row>
    <row r="75" spans="1:37" x14ac:dyDescent="0.2">
      <c r="A75" t="s">
        <v>23</v>
      </c>
      <c r="B75" t="s">
        <v>22</v>
      </c>
      <c r="C75" t="s">
        <v>21</v>
      </c>
      <c r="D75" t="s">
        <v>20</v>
      </c>
      <c r="E75" t="s">
        <v>55</v>
      </c>
      <c r="F75" t="s">
        <v>54</v>
      </c>
      <c r="G75" t="s">
        <v>16</v>
      </c>
      <c r="H75" t="s">
        <v>17</v>
      </c>
      <c r="I75" t="s">
        <v>16</v>
      </c>
      <c r="J75" t="s">
        <v>15</v>
      </c>
      <c r="K75" t="s">
        <v>14</v>
      </c>
      <c r="L75" t="s">
        <v>13</v>
      </c>
      <c r="M75" t="s">
        <v>5</v>
      </c>
      <c r="N75" t="s">
        <v>4</v>
      </c>
      <c r="O75" t="s">
        <v>12</v>
      </c>
      <c r="P75" t="s">
        <v>11</v>
      </c>
      <c r="Q75" t="s">
        <v>10</v>
      </c>
      <c r="R75" t="s">
        <v>9</v>
      </c>
      <c r="S75" t="s">
        <v>8</v>
      </c>
      <c r="T75" t="s">
        <v>7</v>
      </c>
      <c r="U75" t="s">
        <v>3</v>
      </c>
      <c r="V75" t="s">
        <v>6</v>
      </c>
      <c r="W75">
        <v>2023</v>
      </c>
      <c r="Y75">
        <v>86.295029</v>
      </c>
      <c r="AA75" t="s">
        <v>5</v>
      </c>
      <c r="AB75" t="s">
        <v>4</v>
      </c>
      <c r="AC75">
        <v>2023</v>
      </c>
      <c r="AE75" t="s">
        <v>3</v>
      </c>
      <c r="AF75" t="s">
        <v>2</v>
      </c>
      <c r="AG75">
        <v>0</v>
      </c>
      <c r="AH75" t="s">
        <v>1</v>
      </c>
      <c r="AI75">
        <v>2</v>
      </c>
      <c r="AJ75" t="s">
        <v>0</v>
      </c>
      <c r="AK75">
        <f>_xlfn.XLOOKUP(F75,emission!A$2:A$248,emission!D$2:D$248)</f>
        <v>1768002</v>
      </c>
    </row>
    <row r="76" spans="1:37" x14ac:dyDescent="0.2">
      <c r="A76" t="s">
        <v>23</v>
      </c>
      <c r="B76" t="s">
        <v>22</v>
      </c>
      <c r="C76" t="s">
        <v>21</v>
      </c>
      <c r="D76" t="s">
        <v>20</v>
      </c>
      <c r="E76" t="s">
        <v>53</v>
      </c>
      <c r="F76" t="s">
        <v>52</v>
      </c>
      <c r="G76" t="s">
        <v>16</v>
      </c>
      <c r="H76" t="s">
        <v>17</v>
      </c>
      <c r="I76" t="s">
        <v>16</v>
      </c>
      <c r="J76" t="s">
        <v>15</v>
      </c>
      <c r="K76" t="s">
        <v>14</v>
      </c>
      <c r="L76" t="s">
        <v>13</v>
      </c>
      <c r="M76" t="s">
        <v>5</v>
      </c>
      <c r="N76" t="s">
        <v>4</v>
      </c>
      <c r="O76" t="s">
        <v>12</v>
      </c>
      <c r="P76" t="s">
        <v>11</v>
      </c>
      <c r="Q76" t="s">
        <v>10</v>
      </c>
      <c r="R76" t="s">
        <v>9</v>
      </c>
      <c r="S76" t="s">
        <v>8</v>
      </c>
      <c r="T76" t="s">
        <v>7</v>
      </c>
      <c r="U76" t="s">
        <v>3</v>
      </c>
      <c r="V76" t="s">
        <v>6</v>
      </c>
      <c r="W76">
        <v>2023</v>
      </c>
      <c r="Y76">
        <v>17.463127</v>
      </c>
      <c r="AA76" t="s">
        <v>5</v>
      </c>
      <c r="AB76" t="s">
        <v>4</v>
      </c>
      <c r="AC76">
        <v>2023</v>
      </c>
      <c r="AE76" t="s">
        <v>3</v>
      </c>
      <c r="AF76" t="s">
        <v>2</v>
      </c>
      <c r="AG76">
        <v>0</v>
      </c>
      <c r="AH76" t="s">
        <v>1</v>
      </c>
      <c r="AI76">
        <v>2</v>
      </c>
      <c r="AJ76" t="s">
        <v>0</v>
      </c>
      <c r="AK76">
        <f>_xlfn.XLOOKUP(F76,emission!A$2:A$248,emission!D$2:D$248)</f>
        <v>4587621</v>
      </c>
    </row>
    <row r="77" spans="1:37" x14ac:dyDescent="0.2">
      <c r="A77" t="s">
        <v>23</v>
      </c>
      <c r="B77" t="s">
        <v>22</v>
      </c>
      <c r="C77" t="s">
        <v>21</v>
      </c>
      <c r="D77" t="s">
        <v>20</v>
      </c>
      <c r="E77" t="s">
        <v>51</v>
      </c>
      <c r="F77" t="s">
        <v>50</v>
      </c>
      <c r="G77" t="s">
        <v>16</v>
      </c>
      <c r="H77" t="s">
        <v>17</v>
      </c>
      <c r="I77" t="s">
        <v>16</v>
      </c>
      <c r="J77" t="s">
        <v>15</v>
      </c>
      <c r="K77" t="s">
        <v>14</v>
      </c>
      <c r="L77" t="s">
        <v>13</v>
      </c>
      <c r="M77" t="s">
        <v>5</v>
      </c>
      <c r="N77" t="s">
        <v>4</v>
      </c>
      <c r="O77" t="s">
        <v>12</v>
      </c>
      <c r="P77" t="s">
        <v>11</v>
      </c>
      <c r="Q77" t="s">
        <v>10</v>
      </c>
      <c r="R77" t="s">
        <v>9</v>
      </c>
      <c r="S77" t="s">
        <v>8</v>
      </c>
      <c r="T77" t="s">
        <v>7</v>
      </c>
      <c r="U77" t="s">
        <v>3</v>
      </c>
      <c r="V77" t="s">
        <v>6</v>
      </c>
      <c r="W77">
        <v>2023</v>
      </c>
      <c r="Y77">
        <v>6.9162420999999998</v>
      </c>
      <c r="AA77" t="s">
        <v>5</v>
      </c>
      <c r="AB77" t="s">
        <v>4</v>
      </c>
      <c r="AC77">
        <v>2023</v>
      </c>
      <c r="AE77" t="s">
        <v>3</v>
      </c>
      <c r="AF77" t="s">
        <v>2</v>
      </c>
      <c r="AG77">
        <v>0</v>
      </c>
      <c r="AH77" t="s">
        <v>1</v>
      </c>
      <c r="AI77">
        <v>2</v>
      </c>
      <c r="AJ77" t="s">
        <v>0</v>
      </c>
      <c r="AK77">
        <f>_xlfn.XLOOKUP(F77,emission!A$2:A$248,emission!D$2:D$248)</f>
        <v>13002121</v>
      </c>
    </row>
    <row r="78" spans="1:37" x14ac:dyDescent="0.2">
      <c r="A78" t="s">
        <v>23</v>
      </c>
      <c r="B78" t="s">
        <v>22</v>
      </c>
      <c r="C78" t="s">
        <v>21</v>
      </c>
      <c r="D78" t="s">
        <v>20</v>
      </c>
      <c r="E78" t="s">
        <v>49</v>
      </c>
      <c r="F78" t="s">
        <v>48</v>
      </c>
      <c r="G78" t="s">
        <v>16</v>
      </c>
      <c r="H78" t="s">
        <v>17</v>
      </c>
      <c r="I78" t="s">
        <v>16</v>
      </c>
      <c r="J78" t="s">
        <v>15</v>
      </c>
      <c r="K78" t="s">
        <v>14</v>
      </c>
      <c r="L78" t="s">
        <v>13</v>
      </c>
      <c r="M78" t="s">
        <v>5</v>
      </c>
      <c r="N78" t="s">
        <v>4</v>
      </c>
      <c r="O78" t="s">
        <v>12</v>
      </c>
      <c r="P78" t="s">
        <v>11</v>
      </c>
      <c r="Q78" t="s">
        <v>10</v>
      </c>
      <c r="R78" t="s">
        <v>9</v>
      </c>
      <c r="S78" t="s">
        <v>8</v>
      </c>
      <c r="T78" t="s">
        <v>7</v>
      </c>
      <c r="U78" t="s">
        <v>3</v>
      </c>
      <c r="V78" t="s">
        <v>6</v>
      </c>
      <c r="W78">
        <v>2023</v>
      </c>
      <c r="Y78">
        <v>8.6564121000000007</v>
      </c>
      <c r="AA78" t="s">
        <v>5</v>
      </c>
      <c r="AB78" t="s">
        <v>4</v>
      </c>
      <c r="AC78">
        <v>2023</v>
      </c>
      <c r="AE78" t="s">
        <v>3</v>
      </c>
      <c r="AF78" t="s">
        <v>2</v>
      </c>
      <c r="AG78">
        <v>0</v>
      </c>
      <c r="AH78" t="s">
        <v>1</v>
      </c>
      <c r="AI78">
        <v>2</v>
      </c>
      <c r="AJ78" t="s">
        <v>0</v>
      </c>
      <c r="AK78">
        <f>_xlfn.XLOOKUP(F78,emission!A$2:A$248,emission!D$2:D$248)</f>
        <v>7645687</v>
      </c>
    </row>
    <row r="79" spans="1:37" x14ac:dyDescent="0.2">
      <c r="A79" t="s">
        <v>23</v>
      </c>
      <c r="B79" t="s">
        <v>22</v>
      </c>
      <c r="C79" t="s">
        <v>21</v>
      </c>
      <c r="D79" t="s">
        <v>20</v>
      </c>
      <c r="E79" t="s">
        <v>47</v>
      </c>
      <c r="F79" t="s">
        <v>46</v>
      </c>
      <c r="G79" t="s">
        <v>16</v>
      </c>
      <c r="H79" t="s">
        <v>17</v>
      </c>
      <c r="I79" t="s">
        <v>16</v>
      </c>
      <c r="J79" t="s">
        <v>15</v>
      </c>
      <c r="K79" t="s">
        <v>14</v>
      </c>
      <c r="L79" t="s">
        <v>13</v>
      </c>
      <c r="M79" t="s">
        <v>5</v>
      </c>
      <c r="N79" t="s">
        <v>4</v>
      </c>
      <c r="O79" t="s">
        <v>12</v>
      </c>
      <c r="P79" t="s">
        <v>11</v>
      </c>
      <c r="Q79" t="s">
        <v>10</v>
      </c>
      <c r="R79" t="s">
        <v>9</v>
      </c>
      <c r="S79" t="s">
        <v>8</v>
      </c>
      <c r="T79" t="s">
        <v>7</v>
      </c>
      <c r="U79" t="s">
        <v>3</v>
      </c>
      <c r="V79" t="s">
        <v>6</v>
      </c>
      <c r="W79">
        <v>2023</v>
      </c>
      <c r="Y79">
        <v>9.7818650999999992</v>
      </c>
      <c r="AA79" t="s">
        <v>5</v>
      </c>
      <c r="AB79" t="s">
        <v>4</v>
      </c>
      <c r="AC79">
        <v>2023</v>
      </c>
      <c r="AE79" t="s">
        <v>3</v>
      </c>
      <c r="AF79" t="s">
        <v>2</v>
      </c>
      <c r="AG79">
        <v>0</v>
      </c>
      <c r="AH79" t="s">
        <v>1</v>
      </c>
      <c r="AI79">
        <v>2</v>
      </c>
      <c r="AJ79" t="s">
        <v>0</v>
      </c>
      <c r="AK79">
        <f>_xlfn.XLOOKUP(F79,emission!A$2:A$248,emission!D$2:D$248)</f>
        <v>66064750</v>
      </c>
    </row>
    <row r="80" spans="1:37" x14ac:dyDescent="0.2">
      <c r="A80" t="s">
        <v>23</v>
      </c>
      <c r="B80" t="s">
        <v>22</v>
      </c>
      <c r="C80" t="s">
        <v>21</v>
      </c>
      <c r="D80" t="s">
        <v>20</v>
      </c>
      <c r="E80" t="s">
        <v>45</v>
      </c>
      <c r="F80" t="s">
        <v>44</v>
      </c>
      <c r="G80" t="s">
        <v>16</v>
      </c>
      <c r="H80" t="s">
        <v>17</v>
      </c>
      <c r="I80" t="s">
        <v>16</v>
      </c>
      <c r="J80" t="s">
        <v>15</v>
      </c>
      <c r="K80" t="s">
        <v>14</v>
      </c>
      <c r="L80" t="s">
        <v>13</v>
      </c>
      <c r="M80" t="s">
        <v>5</v>
      </c>
      <c r="N80" t="s">
        <v>4</v>
      </c>
      <c r="O80" t="s">
        <v>12</v>
      </c>
      <c r="P80" t="s">
        <v>11</v>
      </c>
      <c r="Q80" t="s">
        <v>10</v>
      </c>
      <c r="R80" t="s">
        <v>9</v>
      </c>
      <c r="S80" t="s">
        <v>8</v>
      </c>
      <c r="T80" t="s">
        <v>7</v>
      </c>
      <c r="U80" t="s">
        <v>3</v>
      </c>
      <c r="V80" t="s">
        <v>6</v>
      </c>
      <c r="W80">
        <v>2023</v>
      </c>
      <c r="Y80">
        <v>9.8803491999999995</v>
      </c>
      <c r="AA80" t="s">
        <v>5</v>
      </c>
      <c r="AB80" t="s">
        <v>4</v>
      </c>
      <c r="AC80">
        <v>2023</v>
      </c>
      <c r="AE80" t="s">
        <v>3</v>
      </c>
      <c r="AF80" t="s">
        <v>2</v>
      </c>
      <c r="AG80">
        <v>0</v>
      </c>
      <c r="AH80" t="s">
        <v>1</v>
      </c>
      <c r="AI80">
        <v>2</v>
      </c>
      <c r="AJ80" t="s">
        <v>0</v>
      </c>
      <c r="AK80">
        <f>_xlfn.XLOOKUP(F80,emission!A$2:A$248,emission!D$2:D$248)</f>
        <v>160980460</v>
      </c>
    </row>
    <row r="81" spans="1:37" x14ac:dyDescent="0.2">
      <c r="A81" t="s">
        <v>23</v>
      </c>
      <c r="B81" t="s">
        <v>22</v>
      </c>
      <c r="C81" t="s">
        <v>21</v>
      </c>
      <c r="D81" t="s">
        <v>20</v>
      </c>
      <c r="E81" t="s">
        <v>43</v>
      </c>
      <c r="F81" t="s">
        <v>42</v>
      </c>
      <c r="G81" t="s">
        <v>16</v>
      </c>
      <c r="H81" t="s">
        <v>17</v>
      </c>
      <c r="I81" t="s">
        <v>16</v>
      </c>
      <c r="J81" t="s">
        <v>15</v>
      </c>
      <c r="K81" t="s">
        <v>14</v>
      </c>
      <c r="L81" t="s">
        <v>13</v>
      </c>
      <c r="M81" t="s">
        <v>5</v>
      </c>
      <c r="N81" t="s">
        <v>4</v>
      </c>
      <c r="O81" t="s">
        <v>12</v>
      </c>
      <c r="P81" t="s">
        <v>11</v>
      </c>
      <c r="Q81" t="s">
        <v>10</v>
      </c>
      <c r="R81" t="s">
        <v>9</v>
      </c>
      <c r="S81" t="s">
        <v>8</v>
      </c>
      <c r="T81" t="s">
        <v>7</v>
      </c>
      <c r="U81" t="s">
        <v>3</v>
      </c>
      <c r="V81" t="s">
        <v>6</v>
      </c>
      <c r="W81">
        <v>2023</v>
      </c>
      <c r="Y81">
        <v>48.557811999999998</v>
      </c>
      <c r="AA81" t="s">
        <v>5</v>
      </c>
      <c r="AB81" t="s">
        <v>4</v>
      </c>
      <c r="AC81">
        <v>2023</v>
      </c>
      <c r="AE81" t="s">
        <v>3</v>
      </c>
      <c r="AF81" t="s">
        <v>2</v>
      </c>
      <c r="AG81">
        <v>0</v>
      </c>
      <c r="AH81" t="s">
        <v>1</v>
      </c>
      <c r="AI81">
        <v>2</v>
      </c>
      <c r="AJ81" t="s">
        <v>0</v>
      </c>
      <c r="AK81">
        <f>_xlfn.XLOOKUP(F81,emission!A$2:A$248,emission!D$2:D$248)</f>
        <v>67866024</v>
      </c>
    </row>
    <row r="82" spans="1:37" x14ac:dyDescent="0.2">
      <c r="A82" t="s">
        <v>23</v>
      </c>
      <c r="B82" t="s">
        <v>22</v>
      </c>
      <c r="C82" t="s">
        <v>21</v>
      </c>
      <c r="D82" t="s">
        <v>20</v>
      </c>
      <c r="E82" t="s">
        <v>41</v>
      </c>
      <c r="F82" t="s">
        <v>40</v>
      </c>
      <c r="G82" t="s">
        <v>16</v>
      </c>
      <c r="H82" t="s">
        <v>17</v>
      </c>
      <c r="I82" t="s">
        <v>16</v>
      </c>
      <c r="J82" t="s">
        <v>15</v>
      </c>
      <c r="K82" t="s">
        <v>14</v>
      </c>
      <c r="L82" t="s">
        <v>13</v>
      </c>
      <c r="M82" t="s">
        <v>5</v>
      </c>
      <c r="N82" t="s">
        <v>4</v>
      </c>
      <c r="O82" t="s">
        <v>12</v>
      </c>
      <c r="P82" t="s">
        <v>11</v>
      </c>
      <c r="Q82" t="s">
        <v>10</v>
      </c>
      <c r="R82" t="s">
        <v>9</v>
      </c>
      <c r="S82" t="s">
        <v>8</v>
      </c>
      <c r="T82" t="s">
        <v>7</v>
      </c>
      <c r="U82" t="s">
        <v>3</v>
      </c>
      <c r="V82" t="s">
        <v>6</v>
      </c>
      <c r="W82">
        <v>2023</v>
      </c>
      <c r="Y82">
        <v>4.1177391999999999</v>
      </c>
      <c r="AA82" t="s">
        <v>5</v>
      </c>
      <c r="AB82" t="s">
        <v>4</v>
      </c>
      <c r="AC82">
        <v>2023</v>
      </c>
      <c r="AE82" t="s">
        <v>3</v>
      </c>
      <c r="AF82" t="s">
        <v>2</v>
      </c>
      <c r="AG82">
        <v>0</v>
      </c>
      <c r="AH82" t="s">
        <v>1</v>
      </c>
      <c r="AI82">
        <v>2</v>
      </c>
      <c r="AJ82" t="s">
        <v>0</v>
      </c>
      <c r="AK82">
        <f>_xlfn.XLOOKUP(F82,emission!A$2:A$248,emission!D$2:D$248)</f>
        <v>1733134600</v>
      </c>
    </row>
    <row r="83" spans="1:37" x14ac:dyDescent="0.2">
      <c r="A83" t="s">
        <v>23</v>
      </c>
      <c r="B83" t="s">
        <v>22</v>
      </c>
      <c r="C83" t="s">
        <v>21</v>
      </c>
      <c r="D83" t="s">
        <v>20</v>
      </c>
      <c r="E83" t="s">
        <v>39</v>
      </c>
      <c r="F83" t="s">
        <v>38</v>
      </c>
      <c r="G83" t="s">
        <v>16</v>
      </c>
      <c r="H83" t="s">
        <v>17</v>
      </c>
      <c r="I83" t="s">
        <v>16</v>
      </c>
      <c r="J83" t="s">
        <v>15</v>
      </c>
      <c r="K83" t="s">
        <v>14</v>
      </c>
      <c r="L83" t="s">
        <v>13</v>
      </c>
      <c r="M83" t="s">
        <v>5</v>
      </c>
      <c r="N83" t="s">
        <v>4</v>
      </c>
      <c r="O83" t="s">
        <v>12</v>
      </c>
      <c r="P83" t="s">
        <v>11</v>
      </c>
      <c r="Q83" t="s">
        <v>10</v>
      </c>
      <c r="R83" t="s">
        <v>9</v>
      </c>
      <c r="S83" t="s">
        <v>8</v>
      </c>
      <c r="T83" t="s">
        <v>7</v>
      </c>
      <c r="U83" t="s">
        <v>3</v>
      </c>
      <c r="V83" t="s">
        <v>6</v>
      </c>
      <c r="W83">
        <v>2023</v>
      </c>
      <c r="Y83">
        <v>13.825374</v>
      </c>
      <c r="AA83" t="s">
        <v>5</v>
      </c>
      <c r="AB83" t="s">
        <v>4</v>
      </c>
      <c r="AC83">
        <v>2023</v>
      </c>
      <c r="AE83" t="s">
        <v>3</v>
      </c>
      <c r="AF83" t="s">
        <v>2</v>
      </c>
      <c r="AG83">
        <v>0</v>
      </c>
      <c r="AH83" t="s">
        <v>1</v>
      </c>
      <c r="AI83">
        <v>2</v>
      </c>
      <c r="AJ83" t="s">
        <v>0</v>
      </c>
      <c r="AK83">
        <f>_xlfn.XLOOKUP(F83,emission!A$2:A$248,emission!D$2:D$248)</f>
        <v>2016015</v>
      </c>
    </row>
    <row r="84" spans="1:37" x14ac:dyDescent="0.2">
      <c r="A84" t="s">
        <v>23</v>
      </c>
      <c r="B84" t="s">
        <v>22</v>
      </c>
      <c r="C84" t="s">
        <v>21</v>
      </c>
      <c r="D84" t="s">
        <v>20</v>
      </c>
      <c r="E84" t="s">
        <v>37</v>
      </c>
      <c r="F84" t="s">
        <v>36</v>
      </c>
      <c r="G84" t="s">
        <v>16</v>
      </c>
      <c r="H84" t="s">
        <v>17</v>
      </c>
      <c r="I84" t="s">
        <v>16</v>
      </c>
      <c r="J84" t="s">
        <v>15</v>
      </c>
      <c r="K84" t="s">
        <v>14</v>
      </c>
      <c r="L84" t="s">
        <v>13</v>
      </c>
      <c r="M84" t="s">
        <v>5</v>
      </c>
      <c r="N84" t="s">
        <v>4</v>
      </c>
      <c r="O84" t="s">
        <v>12</v>
      </c>
      <c r="P84" t="s">
        <v>11</v>
      </c>
      <c r="Q84" t="s">
        <v>10</v>
      </c>
      <c r="R84" t="s">
        <v>9</v>
      </c>
      <c r="S84" t="s">
        <v>8</v>
      </c>
      <c r="T84" t="s">
        <v>7</v>
      </c>
      <c r="U84" t="s">
        <v>3</v>
      </c>
      <c r="V84" t="s">
        <v>6</v>
      </c>
      <c r="W84">
        <v>2023</v>
      </c>
      <c r="Y84">
        <v>13.482552999999999</v>
      </c>
      <c r="AA84" t="s">
        <v>5</v>
      </c>
      <c r="AB84" t="s">
        <v>4</v>
      </c>
      <c r="AC84">
        <v>2023</v>
      </c>
      <c r="AE84" t="s">
        <v>3</v>
      </c>
      <c r="AF84" t="s">
        <v>2</v>
      </c>
      <c r="AG84">
        <v>0</v>
      </c>
      <c r="AH84" t="s">
        <v>1</v>
      </c>
      <c r="AI84">
        <v>2</v>
      </c>
      <c r="AJ84" t="s">
        <v>0</v>
      </c>
      <c r="AK84">
        <f>_xlfn.XLOOKUP(F84,emission!A$2:A$248,emission!D$2:D$248)</f>
        <v>51067616</v>
      </c>
    </row>
    <row r="85" spans="1:37" x14ac:dyDescent="0.2">
      <c r="A85" t="s">
        <v>23</v>
      </c>
      <c r="B85" t="s">
        <v>22</v>
      </c>
      <c r="C85" t="s">
        <v>21</v>
      </c>
      <c r="D85" t="s">
        <v>20</v>
      </c>
      <c r="E85" t="s">
        <v>35</v>
      </c>
      <c r="F85" t="s">
        <v>34</v>
      </c>
      <c r="G85" t="s">
        <v>16</v>
      </c>
      <c r="H85" t="s">
        <v>17</v>
      </c>
      <c r="I85" t="s">
        <v>16</v>
      </c>
      <c r="J85" t="s">
        <v>15</v>
      </c>
      <c r="K85" t="s">
        <v>14</v>
      </c>
      <c r="L85" t="s">
        <v>13</v>
      </c>
      <c r="M85" t="s">
        <v>5</v>
      </c>
      <c r="N85" t="s">
        <v>4</v>
      </c>
      <c r="O85" t="s">
        <v>12</v>
      </c>
      <c r="P85" t="s">
        <v>11</v>
      </c>
      <c r="Q85" t="s">
        <v>10</v>
      </c>
      <c r="R85" t="s">
        <v>9</v>
      </c>
      <c r="S85" t="s">
        <v>8</v>
      </c>
      <c r="T85" t="s">
        <v>7</v>
      </c>
      <c r="U85" t="s">
        <v>3</v>
      </c>
      <c r="V85" t="s">
        <v>6</v>
      </c>
      <c r="W85">
        <v>2023</v>
      </c>
      <c r="Y85">
        <v>16.014624000000001</v>
      </c>
      <c r="AA85" t="s">
        <v>5</v>
      </c>
      <c r="AB85" t="s">
        <v>4</v>
      </c>
      <c r="AC85">
        <v>2023</v>
      </c>
      <c r="AE85" t="s">
        <v>3</v>
      </c>
      <c r="AF85" t="s">
        <v>2</v>
      </c>
      <c r="AG85">
        <v>0</v>
      </c>
      <c r="AH85" t="s">
        <v>1</v>
      </c>
      <c r="AI85">
        <v>2</v>
      </c>
      <c r="AJ85" t="s">
        <v>0</v>
      </c>
      <c r="AK85">
        <f>_xlfn.XLOOKUP(F85,emission!A$2:A$248,emission!D$2:D$248)</f>
        <v>436604200</v>
      </c>
    </row>
    <row r="86" spans="1:37" x14ac:dyDescent="0.2">
      <c r="A86" t="s">
        <v>23</v>
      </c>
      <c r="B86" t="s">
        <v>22</v>
      </c>
      <c r="C86" t="s">
        <v>21</v>
      </c>
      <c r="D86" t="s">
        <v>20</v>
      </c>
      <c r="E86" t="s">
        <v>33</v>
      </c>
      <c r="F86" t="s">
        <v>32</v>
      </c>
      <c r="G86" t="s">
        <v>16</v>
      </c>
      <c r="H86" t="s">
        <v>17</v>
      </c>
      <c r="I86" t="s">
        <v>16</v>
      </c>
      <c r="J86" t="s">
        <v>15</v>
      </c>
      <c r="K86" t="s">
        <v>14</v>
      </c>
      <c r="L86" t="s">
        <v>13</v>
      </c>
      <c r="M86" t="s">
        <v>5</v>
      </c>
      <c r="N86" t="s">
        <v>4</v>
      </c>
      <c r="O86" t="s">
        <v>12</v>
      </c>
      <c r="P86" t="s">
        <v>11</v>
      </c>
      <c r="Q86" t="s">
        <v>10</v>
      </c>
      <c r="R86" t="s">
        <v>9</v>
      </c>
      <c r="S86" t="s">
        <v>8</v>
      </c>
      <c r="T86" t="s">
        <v>7</v>
      </c>
      <c r="U86" t="s">
        <v>3</v>
      </c>
      <c r="V86" t="s">
        <v>6</v>
      </c>
      <c r="W86">
        <v>2023</v>
      </c>
      <c r="Y86">
        <v>15.91996</v>
      </c>
      <c r="AA86" t="s">
        <v>5</v>
      </c>
      <c r="AB86" t="s">
        <v>4</v>
      </c>
      <c r="AC86">
        <v>2023</v>
      </c>
      <c r="AE86" t="s">
        <v>3</v>
      </c>
      <c r="AF86" t="s">
        <v>2</v>
      </c>
      <c r="AG86">
        <v>0</v>
      </c>
      <c r="AH86" t="s">
        <v>1</v>
      </c>
      <c r="AI86">
        <v>2</v>
      </c>
      <c r="AJ86" t="s">
        <v>0</v>
      </c>
      <c r="AK86">
        <f>_xlfn.XLOOKUP(F86,emission!A$2:A$248,emission!D$2:D$248)</f>
        <v>6235861</v>
      </c>
    </row>
    <row r="87" spans="1:37" x14ac:dyDescent="0.2">
      <c r="A87" t="s">
        <v>23</v>
      </c>
      <c r="B87" t="s">
        <v>22</v>
      </c>
      <c r="C87" t="s">
        <v>21</v>
      </c>
      <c r="D87" t="s">
        <v>20</v>
      </c>
      <c r="E87" t="s">
        <v>31</v>
      </c>
      <c r="F87" t="s">
        <v>30</v>
      </c>
      <c r="G87" t="s">
        <v>16</v>
      </c>
      <c r="H87" t="s">
        <v>17</v>
      </c>
      <c r="I87" t="s">
        <v>16</v>
      </c>
      <c r="J87" t="s">
        <v>15</v>
      </c>
      <c r="K87" t="s">
        <v>14</v>
      </c>
      <c r="L87" t="s">
        <v>13</v>
      </c>
      <c r="M87" t="s">
        <v>5</v>
      </c>
      <c r="N87" t="s">
        <v>4</v>
      </c>
      <c r="O87" t="s">
        <v>12</v>
      </c>
      <c r="P87" t="s">
        <v>11</v>
      </c>
      <c r="Q87" t="s">
        <v>10</v>
      </c>
      <c r="R87" t="s">
        <v>9</v>
      </c>
      <c r="S87" t="s">
        <v>8</v>
      </c>
      <c r="T87" t="s">
        <v>7</v>
      </c>
      <c r="U87" t="s">
        <v>3</v>
      </c>
      <c r="V87" t="s">
        <v>6</v>
      </c>
      <c r="W87">
        <v>2023</v>
      </c>
      <c r="Y87">
        <v>16.260715000000001</v>
      </c>
      <c r="AA87" t="s">
        <v>5</v>
      </c>
      <c r="AB87" t="s">
        <v>4</v>
      </c>
      <c r="AC87">
        <v>2023</v>
      </c>
      <c r="AE87" t="s">
        <v>3</v>
      </c>
      <c r="AF87" t="s">
        <v>2</v>
      </c>
      <c r="AG87">
        <v>0</v>
      </c>
      <c r="AH87" t="s">
        <v>1</v>
      </c>
      <c r="AI87">
        <v>2</v>
      </c>
      <c r="AJ87" t="s">
        <v>0</v>
      </c>
      <c r="AK87">
        <f>_xlfn.XLOOKUP(F87,emission!A$2:A$248,emission!D$2:D$248)</f>
        <v>7626940</v>
      </c>
    </row>
    <row r="88" spans="1:37" x14ac:dyDescent="0.2">
      <c r="A88" t="s">
        <v>23</v>
      </c>
      <c r="B88" t="s">
        <v>22</v>
      </c>
      <c r="C88" t="s">
        <v>21</v>
      </c>
      <c r="D88" t="s">
        <v>20</v>
      </c>
      <c r="E88" t="s">
        <v>29</v>
      </c>
      <c r="F88" t="s">
        <v>28</v>
      </c>
      <c r="G88" t="s">
        <v>16</v>
      </c>
      <c r="H88" t="s">
        <v>17</v>
      </c>
      <c r="I88" t="s">
        <v>16</v>
      </c>
      <c r="J88" t="s">
        <v>15</v>
      </c>
      <c r="K88" t="s">
        <v>14</v>
      </c>
      <c r="L88" t="s">
        <v>13</v>
      </c>
      <c r="M88" t="s">
        <v>5</v>
      </c>
      <c r="N88" t="s">
        <v>4</v>
      </c>
      <c r="O88" t="s">
        <v>12</v>
      </c>
      <c r="P88" t="s">
        <v>11</v>
      </c>
      <c r="Q88" t="s">
        <v>10</v>
      </c>
      <c r="R88" t="s">
        <v>9</v>
      </c>
      <c r="S88" t="s">
        <v>8</v>
      </c>
      <c r="T88" t="s">
        <v>7</v>
      </c>
      <c r="U88" t="s">
        <v>3</v>
      </c>
      <c r="V88" t="s">
        <v>6</v>
      </c>
      <c r="W88">
        <v>2023</v>
      </c>
      <c r="Y88">
        <v>2.3239043000000001</v>
      </c>
      <c r="AA88" t="s">
        <v>5</v>
      </c>
      <c r="AB88" t="s">
        <v>4</v>
      </c>
      <c r="AC88">
        <v>2023</v>
      </c>
      <c r="AE88" t="s">
        <v>3</v>
      </c>
      <c r="AF88" t="s">
        <v>2</v>
      </c>
      <c r="AG88">
        <v>0</v>
      </c>
      <c r="AH88" t="s">
        <v>1</v>
      </c>
      <c r="AI88">
        <v>2</v>
      </c>
      <c r="AJ88" t="s">
        <v>0</v>
      </c>
      <c r="AK88">
        <f>_xlfn.XLOOKUP(F88,emission!A$2:A$248,emission!D$2:D$248)</f>
        <v>11830727</v>
      </c>
    </row>
    <row r="89" spans="1:37" x14ac:dyDescent="0.2">
      <c r="A89" t="s">
        <v>23</v>
      </c>
      <c r="B89" t="s">
        <v>22</v>
      </c>
      <c r="C89" t="s">
        <v>21</v>
      </c>
      <c r="D89" t="s">
        <v>20</v>
      </c>
      <c r="E89" t="s">
        <v>27</v>
      </c>
      <c r="F89" t="s">
        <v>26</v>
      </c>
      <c r="G89" t="s">
        <v>16</v>
      </c>
      <c r="H89" t="s">
        <v>17</v>
      </c>
      <c r="I89" t="s">
        <v>16</v>
      </c>
      <c r="J89" t="s">
        <v>15</v>
      </c>
      <c r="K89" t="s">
        <v>14</v>
      </c>
      <c r="L89" t="s">
        <v>13</v>
      </c>
      <c r="M89" t="s">
        <v>5</v>
      </c>
      <c r="N89" t="s">
        <v>4</v>
      </c>
      <c r="O89" t="s">
        <v>12</v>
      </c>
      <c r="P89" t="s">
        <v>11</v>
      </c>
      <c r="Q89" t="s">
        <v>10</v>
      </c>
      <c r="R89" t="s">
        <v>9</v>
      </c>
      <c r="S89" t="s">
        <v>8</v>
      </c>
      <c r="T89" t="s">
        <v>7</v>
      </c>
      <c r="U89" t="s">
        <v>3</v>
      </c>
      <c r="V89" t="s">
        <v>6</v>
      </c>
      <c r="W89">
        <v>2023</v>
      </c>
      <c r="Y89">
        <v>6.2144307999999997</v>
      </c>
      <c r="AA89" t="s">
        <v>5</v>
      </c>
      <c r="AB89" t="s">
        <v>4</v>
      </c>
      <c r="AC89">
        <v>2023</v>
      </c>
      <c r="AE89" t="s">
        <v>3</v>
      </c>
      <c r="AF89" t="s">
        <v>2</v>
      </c>
      <c r="AG89">
        <v>0</v>
      </c>
      <c r="AH89" t="s">
        <v>1</v>
      </c>
      <c r="AI89">
        <v>2</v>
      </c>
      <c r="AJ89" t="s">
        <v>0</v>
      </c>
      <c r="AK89" t="e">
        <f>_xlfn.XLOOKUP(F89,emission!A$2:A$248,emission!D$2:D$248)</f>
        <v>#N/A</v>
      </c>
    </row>
    <row r="90" spans="1:37" x14ac:dyDescent="0.2">
      <c r="A90" t="s">
        <v>23</v>
      </c>
      <c r="B90" t="s">
        <v>22</v>
      </c>
      <c r="C90" t="s">
        <v>21</v>
      </c>
      <c r="D90" t="s">
        <v>20</v>
      </c>
      <c r="E90" t="s">
        <v>25</v>
      </c>
      <c r="F90" t="s">
        <v>24</v>
      </c>
      <c r="G90" t="s">
        <v>16</v>
      </c>
      <c r="H90" t="s">
        <v>17</v>
      </c>
      <c r="I90" t="s">
        <v>16</v>
      </c>
      <c r="J90" t="s">
        <v>15</v>
      </c>
      <c r="K90" t="s">
        <v>14</v>
      </c>
      <c r="L90" t="s">
        <v>13</v>
      </c>
      <c r="M90" t="s">
        <v>5</v>
      </c>
      <c r="N90" t="s">
        <v>4</v>
      </c>
      <c r="O90" t="s">
        <v>12</v>
      </c>
      <c r="P90" t="s">
        <v>11</v>
      </c>
      <c r="Q90" t="s">
        <v>10</v>
      </c>
      <c r="R90" t="s">
        <v>9</v>
      </c>
      <c r="S90" t="s">
        <v>8</v>
      </c>
      <c r="T90" t="s">
        <v>7</v>
      </c>
      <c r="U90" t="s">
        <v>3</v>
      </c>
      <c r="V90" t="s">
        <v>6</v>
      </c>
      <c r="W90">
        <v>2023</v>
      </c>
      <c r="Y90">
        <v>79.990959000000004</v>
      </c>
      <c r="AA90" t="s">
        <v>5</v>
      </c>
      <c r="AB90" t="s">
        <v>4</v>
      </c>
      <c r="AC90">
        <v>2023</v>
      </c>
      <c r="AE90" t="s">
        <v>3</v>
      </c>
      <c r="AF90" t="s">
        <v>2</v>
      </c>
      <c r="AG90">
        <v>0</v>
      </c>
      <c r="AH90" t="s">
        <v>1</v>
      </c>
      <c r="AI90">
        <v>2</v>
      </c>
      <c r="AJ90" t="s">
        <v>0</v>
      </c>
      <c r="AK90" t="e">
        <f>_xlfn.XLOOKUP(F90,emission!A$2:A$248,emission!D$2:D$248)</f>
        <v>#N/A</v>
      </c>
    </row>
    <row r="91" spans="1:37" x14ac:dyDescent="0.2">
      <c r="A91" t="s">
        <v>23</v>
      </c>
      <c r="B91" t="s">
        <v>22</v>
      </c>
      <c r="C91" t="s">
        <v>21</v>
      </c>
      <c r="D91" t="s">
        <v>20</v>
      </c>
      <c r="E91" t="s">
        <v>19</v>
      </c>
      <c r="F91" t="s">
        <v>18</v>
      </c>
      <c r="G91" t="s">
        <v>16</v>
      </c>
      <c r="H91" t="s">
        <v>17</v>
      </c>
      <c r="I91" t="s">
        <v>16</v>
      </c>
      <c r="J91" t="s">
        <v>15</v>
      </c>
      <c r="K91" t="s">
        <v>14</v>
      </c>
      <c r="L91" t="s">
        <v>13</v>
      </c>
      <c r="M91" t="s">
        <v>5</v>
      </c>
      <c r="N91" t="s">
        <v>4</v>
      </c>
      <c r="O91" t="s">
        <v>12</v>
      </c>
      <c r="P91" t="s">
        <v>11</v>
      </c>
      <c r="Q91" t="s">
        <v>10</v>
      </c>
      <c r="R91" t="s">
        <v>9</v>
      </c>
      <c r="S91" t="s">
        <v>8</v>
      </c>
      <c r="T91" t="s">
        <v>7</v>
      </c>
      <c r="U91" t="s">
        <v>3</v>
      </c>
      <c r="V91" t="s">
        <v>6</v>
      </c>
      <c r="W91">
        <v>2023</v>
      </c>
      <c r="Y91">
        <v>14.647834</v>
      </c>
      <c r="AA91" t="s">
        <v>5</v>
      </c>
      <c r="AB91" t="s">
        <v>4</v>
      </c>
      <c r="AC91">
        <v>2023</v>
      </c>
      <c r="AE91" t="s">
        <v>3</v>
      </c>
      <c r="AF91" t="s">
        <v>2</v>
      </c>
      <c r="AG91">
        <v>0</v>
      </c>
      <c r="AH91" t="s">
        <v>1</v>
      </c>
      <c r="AI91">
        <v>2</v>
      </c>
      <c r="AJ91" t="s">
        <v>0</v>
      </c>
      <c r="AK91" t="e">
        <f>_xlfn.XLOOKUP(F91,emission!A$2:A$248,emission!D$2:D$248)</f>
        <v>#N/A</v>
      </c>
    </row>
  </sheetData>
  <autoFilter ref="A1:AK91" xr:uid="{44A15228-CC34-E84E-AE5F-405FFAC53E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net_carbon_price</vt:lpstr>
      <vt:lpstr>emission</vt:lpstr>
      <vt:lpstr>euro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Shiyu Deng</dc:creator>
  <cp:lastModifiedBy>Shiyu Deng</cp:lastModifiedBy>
  <dcterms:created xsi:type="dcterms:W3CDTF">2026-03-26T19:26:36Z</dcterms:created>
  <dcterms:modified xsi:type="dcterms:W3CDTF">2026-03-29T23:57:44Z</dcterms:modified>
</cp:coreProperties>
</file>